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C-007\Desktop\BOIS&amp;CO\5- ATTACHEMENTS POSE\"/>
    </mc:Choice>
  </mc:AlternateContent>
  <xr:revisionPtr revIDLastSave="0" documentId="13_ncr:1_{D1548E28-5F24-495E-B992-755F3B4772A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T-SAV" sheetId="3" r:id="rId1"/>
    <sheet name="CONSOLIDATION 260626" sheetId="5" state="hidden" r:id="rId2"/>
    <sheet name="ATTACHEMENT CONSOLIDE 310826" sheetId="7" r:id="rId3"/>
  </sheets>
  <externalReferences>
    <externalReference r:id="rId4"/>
  </externalReferences>
  <definedNames>
    <definedName name="AA" localSheetId="0">#REF!</definedName>
    <definedName name="AA">#REF!</definedName>
    <definedName name="AAA" localSheetId="0">#REF!</definedName>
    <definedName name="AAA">#REF!</definedName>
    <definedName name="AFFAIRE" localSheetId="0">#REF!</definedName>
    <definedName name="AFFAIRE">#REF!</definedName>
    <definedName name="ATFAWZ" localSheetId="0">#REF!</definedName>
    <definedName name="ATFAWZ">#REF!</definedName>
    <definedName name="CHANTIER" localSheetId="0">#REF!</definedName>
    <definedName name="CHANTIER">#REF!</definedName>
    <definedName name="Feries" localSheetId="0">#REF!</definedName>
    <definedName name="Feries">#REF!</definedName>
    <definedName name="ISSAM" localSheetId="0">#REF!</definedName>
    <definedName name="ISSAM">#REF!</definedName>
    <definedName name="Lan" localSheetId="0">#REF!</definedName>
    <definedName name="Lan">#REF!</definedName>
    <definedName name="LISTE" localSheetId="0">#REF!</definedName>
    <definedName name="LISTE">#REF!</definedName>
    <definedName name="Pâques" localSheetId="0">#REF!</definedName>
    <definedName name="Pâques">#REF!</definedName>
    <definedName name="ZARHOUNE" localSheetId="0">#REF!</definedName>
    <definedName name="ZARHOU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7" l="1"/>
  <c r="S11" i="7"/>
  <c r="R11" i="7" l="1"/>
  <c r="C65" i="7"/>
  <c r="U7" i="7"/>
  <c r="D61" i="7"/>
  <c r="D64" i="7"/>
  <c r="L70" i="7"/>
  <c r="Q10" i="7" l="1"/>
  <c r="U10" i="7" s="1"/>
  <c r="Q9" i="7" l="1"/>
  <c r="Q8" i="7"/>
  <c r="Q5" i="7"/>
  <c r="Q11" i="7" l="1"/>
  <c r="T11" i="7"/>
  <c r="D12" i="3" s="1"/>
  <c r="C32" i="7"/>
  <c r="C55" i="7" l="1"/>
  <c r="E39" i="7" l="1"/>
  <c r="E37" i="7"/>
  <c r="G37" i="7" s="1"/>
  <c r="O27" i="7"/>
  <c r="I22" i="7"/>
  <c r="O11" i="7" l="1"/>
  <c r="P11" i="7" l="1"/>
  <c r="N11" i="7"/>
  <c r="M11" i="7"/>
  <c r="L11" i="7"/>
  <c r="K11" i="7"/>
  <c r="J11" i="7"/>
  <c r="H11" i="7"/>
  <c r="G11" i="7"/>
  <c r="F11" i="7"/>
  <c r="E11" i="7"/>
  <c r="D11" i="7"/>
  <c r="C11" i="7"/>
  <c r="I9" i="7"/>
  <c r="U9" i="7" s="1"/>
  <c r="I8" i="7"/>
  <c r="U8" i="7" s="1"/>
  <c r="I6" i="7"/>
  <c r="U6" i="7" s="1"/>
  <c r="I5" i="7"/>
  <c r="U5" i="7" s="1"/>
  <c r="K11" i="5"/>
  <c r="J11" i="5"/>
  <c r="H11" i="5"/>
  <c r="G11" i="5"/>
  <c r="F11" i="5"/>
  <c r="E11" i="5"/>
  <c r="D11" i="5"/>
  <c r="C11" i="5"/>
  <c r="I9" i="5"/>
  <c r="I8" i="5"/>
  <c r="I7" i="5"/>
  <c r="I6" i="5"/>
  <c r="I5" i="5"/>
  <c r="D59" i="7" l="1"/>
  <c r="D62" i="7"/>
  <c r="U11" i="7"/>
  <c r="D60" i="7"/>
  <c r="D63" i="7"/>
  <c r="E12" i="3"/>
  <c r="E14" i="3" s="1"/>
  <c r="I11" i="7"/>
  <c r="I11" i="5"/>
  <c r="D65" i="7" l="1"/>
  <c r="C66" i="7" s="1"/>
  <c r="E15" i="3"/>
  <c r="E16" i="3" s="1"/>
</calcChain>
</file>

<file path=xl/sharedStrings.xml><?xml version="1.0" encoding="utf-8"?>
<sst xmlns="http://schemas.openxmlformats.org/spreadsheetml/2006/main" count="148" uniqueCount="112">
  <si>
    <t>BOIS ET CO
ICE N° : 000080569000056</t>
  </si>
  <si>
    <t>ATTACHEMENT</t>
  </si>
  <si>
    <t>Date</t>
  </si>
  <si>
    <t>Numéro</t>
  </si>
  <si>
    <t>Mode
 Règlement</t>
  </si>
  <si>
    <t>Lieu Récupération M/se</t>
  </si>
  <si>
    <t>Code Client</t>
  </si>
  <si>
    <t>LOCAL 
CASABLANCA</t>
  </si>
  <si>
    <t>Désignation</t>
  </si>
  <si>
    <t>Article</t>
  </si>
  <si>
    <t>Quantité</t>
  </si>
  <si>
    <t>PU HT</t>
  </si>
  <si>
    <t>MONTANT TOTAL</t>
  </si>
  <si>
    <t>MO FINITION&amp;SAV</t>
  </si>
  <si>
    <t>HT</t>
  </si>
  <si>
    <t>TVA 20%</t>
  </si>
  <si>
    <t>TTC</t>
  </si>
  <si>
    <t>ARRETE LA PRESENTE FACTURE A LA SOMME DE :</t>
  </si>
  <si>
    <t xml:space="preserve">NB:Toute marchandise sortie de nos entrepôts ne sera ni reprise ni échangée ni remboursée </t>
  </si>
  <si>
    <t>ICHRAK CENTRE-IMM30 BUREAU N°4 TYPE B 1ERE ETAGE- ROUTE EL JADIDA-LISSASFA-CASABLANCA</t>
  </si>
  <si>
    <t>Tel   : 00 212 6 61414638</t>
  </si>
  <si>
    <t>I.F: 26168678</t>
  </si>
  <si>
    <t>Patente: 133407</t>
  </si>
  <si>
    <r>
      <t xml:space="preserve">           </t>
    </r>
    <r>
      <rPr>
        <b/>
        <sz val="11"/>
        <color rgb="FF000000"/>
        <rFont val="Arial"/>
        <family val="2"/>
      </rPr>
      <t xml:space="preserve"> ICE 002144339000013</t>
    </r>
  </si>
  <si>
    <t xml:space="preserve">CNSS :1108844 </t>
  </si>
  <si>
    <r>
      <t xml:space="preserve">        </t>
    </r>
    <r>
      <rPr>
        <b/>
        <i/>
        <sz val="12"/>
        <color rgb="FF000000"/>
        <rFont val="Arial"/>
        <family val="2"/>
      </rPr>
      <t xml:space="preserve"> centreimport2@gmail.com</t>
    </r>
  </si>
  <si>
    <t>Zone</t>
  </si>
  <si>
    <t>Chef de Projet</t>
  </si>
  <si>
    <t>CASABLANCA</t>
  </si>
  <si>
    <t>Zakariae TAOUIL</t>
  </si>
  <si>
    <t>SUD</t>
  </si>
  <si>
    <t>Salah KAYATI</t>
  </si>
  <si>
    <t xml:space="preserve">Yasser BENHAYOUN </t>
  </si>
  <si>
    <t>NORD - RABAT</t>
  </si>
  <si>
    <t>Sakina MOUHASSINE</t>
  </si>
  <si>
    <t>Anas GHAZAL</t>
  </si>
  <si>
    <t>RABAT - CASABLANCA</t>
  </si>
  <si>
    <t>Elhaj ECHCHORFI</t>
  </si>
  <si>
    <t>TOTAL  AVANCES</t>
  </si>
  <si>
    <t>ATTACHEMENT CONSOLIDÉ DES POSEURS ET AVANCES</t>
  </si>
  <si>
    <t>Avance 1
15/04/26</t>
  </si>
  <si>
    <t>Avance 2
01/05/26</t>
  </si>
  <si>
    <t>Avance 3
08/05/26</t>
  </si>
  <si>
    <t>Avance 4
15/05/26</t>
  </si>
  <si>
    <t>Avance 5
22/05/26</t>
  </si>
  <si>
    <t>Avance 6
08/06/26</t>
  </si>
  <si>
    <t>Avance 7
15/06/26</t>
  </si>
  <si>
    <t>Avance Prévisionnelle
30/06/26</t>
  </si>
  <si>
    <t>Avance Prévisionnelle
26/06/26</t>
  </si>
  <si>
    <t>Avance 8
26/06/26</t>
  </si>
  <si>
    <t>Avance 9
30/06/26</t>
  </si>
  <si>
    <t>Avance 10
03/07/26</t>
  </si>
  <si>
    <t>TOTAL  AVANCES PAR CP</t>
  </si>
  <si>
    <t>ATTACHEMENT CONSOLIDE DES POSEURS ET AVANCES</t>
  </si>
  <si>
    <t>Avance 11
09/07/26</t>
  </si>
  <si>
    <t>Avance 12
10/07/26</t>
  </si>
  <si>
    <t>Avance 13
15/07/26</t>
  </si>
  <si>
    <t>Avance 14
31/07/26</t>
  </si>
  <si>
    <t>FOUAD</t>
  </si>
  <si>
    <t>GHARBAOUI</t>
  </si>
  <si>
    <t>HAMID ARZANA</t>
  </si>
  <si>
    <t>MUSTAPHA</t>
  </si>
  <si>
    <t>BOUZNIKA</t>
  </si>
  <si>
    <t>RABAT</t>
  </si>
  <si>
    <t>LARACHE</t>
  </si>
  <si>
    <t>HOCEIMA</t>
  </si>
  <si>
    <t>LAARAJ</t>
  </si>
  <si>
    <t>FNIDEK</t>
  </si>
  <si>
    <t>YAKOUT</t>
  </si>
  <si>
    <t>TWF</t>
  </si>
  <si>
    <t>LOYER</t>
  </si>
  <si>
    <t>MO RABAT</t>
  </si>
  <si>
    <t>BAB LMAALEM</t>
  </si>
  <si>
    <t>SAOUSSAN</t>
  </si>
  <si>
    <t>ANAS</t>
  </si>
  <si>
    <t>SAKINA</t>
  </si>
  <si>
    <t>ROMA</t>
  </si>
  <si>
    <t>ROMA SIDI MAAROUF</t>
  </si>
  <si>
    <t>LEHRAOUINE ESSAADA</t>
  </si>
  <si>
    <t>LEHRAOUINE ESSAADA marbre</t>
  </si>
  <si>
    <t>Trahim cuisiniste</t>
  </si>
  <si>
    <t>Trahim MARBRE</t>
  </si>
  <si>
    <t>Trahim OMAR</t>
  </si>
  <si>
    <t>Trahim RIDOUANI</t>
  </si>
  <si>
    <t>MO SOCIAL</t>
  </si>
  <si>
    <t>YOUPELBAT</t>
  </si>
  <si>
    <t>BATRACK</t>
  </si>
  <si>
    <t>SOLDE</t>
  </si>
  <si>
    <t>PALESCO</t>
  </si>
  <si>
    <t>LAYMOUN</t>
  </si>
  <si>
    <t>CITI MAAROUF</t>
  </si>
  <si>
    <t>PROBLEME PRIX HABILLAGE</t>
  </si>
  <si>
    <t>AQUALINA</t>
  </si>
  <si>
    <t>²</t>
  </si>
  <si>
    <t>MANITOU</t>
  </si>
  <si>
    <t>Avance 15
03/08/26</t>
  </si>
  <si>
    <t>Avance 16
15/08/26</t>
  </si>
  <si>
    <t>Total 59000 dh</t>
  </si>
  <si>
    <t>SAV RABAT</t>
  </si>
  <si>
    <t>SAV YAMED</t>
  </si>
  <si>
    <t>SAV AUDA</t>
  </si>
  <si>
    <t>CAISSE</t>
  </si>
  <si>
    <t>GSB</t>
  </si>
  <si>
    <t>PERLE AL MANSOUR</t>
  </si>
  <si>
    <t>ELECTRICIEN ARZANA</t>
  </si>
  <si>
    <t>HALIM</t>
  </si>
  <si>
    <t>PROPOSITION</t>
  </si>
  <si>
    <t>ATTACHEMENT /AT-SAV 31082026</t>
  </si>
  <si>
    <t>MO SAV AOUT_S4_ 2026</t>
  </si>
  <si>
    <t>Avance 17
15/08/26</t>
  </si>
  <si>
    <t>Avance 18
31/08/26</t>
  </si>
  <si>
    <t>Avance 16
11/08/26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</si>
</sst>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6"/>
      <color rgb="FF000000"/>
      <name val="Calibri Light"/>
      <family val="2"/>
      <scheme val="major"/>
    </font>
    <font>
      <sz val="11"/>
      <color rgb="FF000000"/>
      <name val="Calibri"/>
      <family val="2"/>
    </font>
    <font>
      <b/>
      <i/>
      <sz val="16"/>
      <color rgb="FF000000"/>
      <name val="Calibri Light"/>
      <family val="2"/>
      <scheme val="major"/>
    </font>
    <font>
      <b/>
      <i/>
      <u/>
      <sz val="16"/>
      <color rgb="FF000000"/>
      <name val="Calibri Light"/>
      <family val="2"/>
      <scheme val="major"/>
    </font>
    <font>
      <b/>
      <u/>
      <sz val="16"/>
      <color rgb="FF000000"/>
      <name val="Calibri Light"/>
      <family val="2"/>
      <scheme val="major"/>
    </font>
    <font>
      <u/>
      <sz val="16"/>
      <color rgb="FF000000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sz val="16"/>
      <name val="Calibri Light"/>
      <family val="2"/>
      <scheme val="maj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5F6368"/>
      <name val="Arial"/>
      <family val="2"/>
    </font>
    <font>
      <b/>
      <i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6"/>
      <color rgb="FFFF0000"/>
      <name val="Calibri"/>
      <family val="2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4F81BD"/>
      </patternFill>
    </fill>
    <fill>
      <patternFill patternType="solid">
        <fgColor theme="0" tint="-0.14999847407452621"/>
        <bgColor rgb="FF4F81BD"/>
      </patternFill>
    </fill>
    <fill>
      <patternFill patternType="solid">
        <fgColor rgb="FFFFFF00"/>
        <bgColor rgb="FFDCE6F1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Protection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0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43" fontId="1" fillId="0" borderId="0" applyFont="0" applyFill="0" applyBorder="0" applyAlignment="0" applyProtection="0"/>
    <xf numFmtId="0" fontId="1" fillId="0" borderId="0">
      <alignment vertical="center"/>
    </xf>
  </cellStyleXfs>
  <cellXfs count="82">
    <xf numFmtId="0" fontId="0" fillId="0" borderId="0" xfId="0"/>
    <xf numFmtId="0" fontId="3" fillId="0" borderId="0" xfId="2" applyFont="1" applyAlignment="1">
      <alignment vertical="center"/>
    </xf>
    <xf numFmtId="0" fontId="4" fillId="0" borderId="0" xfId="3"/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9" fillId="0" borderId="2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14" fontId="9" fillId="0" borderId="2" xfId="2" applyNumberFormat="1" applyFont="1" applyBorder="1" applyAlignment="1">
      <alignment horizontal="center" vertical="center"/>
    </xf>
    <xf numFmtId="17" fontId="9" fillId="0" borderId="2" xfId="2" applyNumberFormat="1" applyFont="1" applyBorder="1" applyAlignment="1">
      <alignment horizontal="center" vertical="center"/>
    </xf>
    <xf numFmtId="43" fontId="9" fillId="0" borderId="2" xfId="1" applyFont="1" applyBorder="1" applyAlignment="1">
      <alignment horizontal="center" vertical="center" wrapText="1"/>
    </xf>
    <xf numFmtId="0" fontId="9" fillId="0" borderId="0" xfId="3" applyFont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164" fontId="10" fillId="2" borderId="3" xfId="3" applyNumberFormat="1" applyFont="1" applyFill="1" applyBorder="1" applyAlignment="1">
      <alignment horizontal="center" vertical="center"/>
    </xf>
    <xf numFmtId="43" fontId="11" fillId="0" borderId="3" xfId="1" applyFont="1" applyFill="1" applyBorder="1" applyAlignment="1">
      <alignment vertical="center"/>
    </xf>
    <xf numFmtId="164" fontId="11" fillId="0" borderId="3" xfId="4" applyNumberFormat="1" applyFont="1" applyFill="1" applyBorder="1" applyAlignment="1">
      <alignment horizontal="center" vertical="center"/>
    </xf>
    <xf numFmtId="164" fontId="9" fillId="0" borderId="0" xfId="5" applyFont="1" applyAlignment="1">
      <alignment horizontal="left" vertical="center" wrapText="1"/>
    </xf>
    <xf numFmtId="164" fontId="3" fillId="0" borderId="0" xfId="3" applyNumberFormat="1" applyFont="1" applyAlignment="1">
      <alignment vertical="center"/>
    </xf>
    <xf numFmtId="164" fontId="9" fillId="3" borderId="4" xfId="5" applyFont="1" applyFill="1" applyBorder="1" applyAlignment="1">
      <alignment vertical="center"/>
    </xf>
    <xf numFmtId="43" fontId="9" fillId="3" borderId="5" xfId="4" applyFont="1" applyFill="1" applyBorder="1" applyAlignment="1">
      <alignment vertical="center"/>
    </xf>
    <xf numFmtId="164" fontId="9" fillId="4" borderId="6" xfId="5" applyFont="1" applyFill="1" applyBorder="1" applyAlignment="1">
      <alignment vertical="center"/>
    </xf>
    <xf numFmtId="43" fontId="9" fillId="4" borderId="7" xfId="4" applyFont="1" applyFill="1" applyBorder="1" applyAlignment="1">
      <alignment horizontal="left" vertical="center"/>
    </xf>
    <xf numFmtId="164" fontId="9" fillId="4" borderId="8" xfId="5" applyFont="1" applyFill="1" applyBorder="1" applyAlignment="1">
      <alignment vertical="center"/>
    </xf>
    <xf numFmtId="43" fontId="9" fillId="4" borderId="9" xfId="4" applyFont="1" applyFill="1" applyBorder="1" applyAlignment="1">
      <alignment horizontal="left" vertical="center"/>
    </xf>
    <xf numFmtId="0" fontId="3" fillId="0" borderId="0" xfId="3" applyFont="1" applyAlignment="1">
      <alignment vertical="center"/>
    </xf>
    <xf numFmtId="0" fontId="4" fillId="0" borderId="0" xfId="3" applyAlignment="1">
      <alignment vertical="center"/>
    </xf>
    <xf numFmtId="0" fontId="12" fillId="0" borderId="0" xfId="6" applyFont="1" applyAlignment="1">
      <alignment vertical="center"/>
    </xf>
    <xf numFmtId="0" fontId="13" fillId="0" borderId="0" xfId="7" applyFont="1" applyAlignment="1">
      <alignment vertical="center"/>
    </xf>
    <xf numFmtId="0" fontId="4" fillId="0" borderId="10" xfId="3" applyBorder="1" applyAlignment="1">
      <alignment vertical="center"/>
    </xf>
    <xf numFmtId="0" fontId="14" fillId="0" borderId="10" xfId="6" applyFont="1" applyBorder="1" applyAlignment="1">
      <alignment horizontal="right" vertical="center"/>
    </xf>
    <xf numFmtId="0" fontId="15" fillId="0" borderId="0" xfId="3" applyFont="1" applyAlignment="1">
      <alignment vertical="center"/>
    </xf>
    <xf numFmtId="0" fontId="16" fillId="0" borderId="0" xfId="6" applyFont="1" applyAlignment="1">
      <alignment vertical="center"/>
    </xf>
    <xf numFmtId="0" fontId="18" fillId="0" borderId="0" xfId="3" applyFont="1" applyAlignment="1">
      <alignment vertical="center"/>
    </xf>
    <xf numFmtId="0" fontId="1" fillId="0" borderId="0" xfId="9">
      <alignment vertical="center"/>
    </xf>
    <xf numFmtId="0" fontId="4" fillId="0" borderId="0" xfId="9" applyFont="1">
      <alignment vertical="center"/>
    </xf>
    <xf numFmtId="0" fontId="22" fillId="6" borderId="2" xfId="9" applyFont="1" applyFill="1" applyBorder="1" applyAlignment="1">
      <alignment horizontal="center" vertical="center" wrapText="1"/>
    </xf>
    <xf numFmtId="0" fontId="23" fillId="7" borderId="2" xfId="9" applyFont="1" applyFill="1" applyBorder="1">
      <alignment vertical="center"/>
    </xf>
    <xf numFmtId="4" fontId="24" fillId="7" borderId="2" xfId="9" applyNumberFormat="1" applyFont="1" applyFill="1" applyBorder="1" applyAlignment="1">
      <alignment horizontal="center" vertical="center"/>
    </xf>
    <xf numFmtId="4" fontId="25" fillId="7" borderId="2" xfId="9" applyNumberFormat="1" applyFont="1" applyFill="1" applyBorder="1" applyAlignment="1">
      <alignment horizontal="center" vertical="center"/>
    </xf>
    <xf numFmtId="0" fontId="23" fillId="8" borderId="2" xfId="9" applyFont="1" applyFill="1" applyBorder="1">
      <alignment vertical="center"/>
    </xf>
    <xf numFmtId="4" fontId="24" fillId="8" borderId="2" xfId="9" applyNumberFormat="1" applyFont="1" applyFill="1" applyBorder="1" applyAlignment="1">
      <alignment horizontal="center" vertical="center"/>
    </xf>
    <xf numFmtId="4" fontId="25" fillId="8" borderId="2" xfId="9" applyNumberFormat="1" applyFont="1" applyFill="1" applyBorder="1" applyAlignment="1">
      <alignment horizontal="center" vertical="center"/>
    </xf>
    <xf numFmtId="4" fontId="26" fillId="8" borderId="2" xfId="9" applyNumberFormat="1" applyFont="1" applyFill="1" applyBorder="1" applyAlignment="1">
      <alignment horizontal="center" vertical="center"/>
    </xf>
    <xf numFmtId="4" fontId="26" fillId="7" borderId="2" xfId="9" applyNumberFormat="1" applyFont="1" applyFill="1" applyBorder="1" applyAlignment="1">
      <alignment horizontal="center" vertical="center"/>
    </xf>
    <xf numFmtId="4" fontId="27" fillId="9" borderId="2" xfId="9" applyNumberFormat="1" applyFont="1" applyFill="1" applyBorder="1" applyAlignment="1">
      <alignment horizontal="center" vertical="center"/>
    </xf>
    <xf numFmtId="4" fontId="28" fillId="9" borderId="2" xfId="9" applyNumberFormat="1" applyFont="1" applyFill="1" applyBorder="1" applyAlignment="1">
      <alignment horizontal="center" vertical="center"/>
    </xf>
    <xf numFmtId="0" fontId="29" fillId="0" borderId="0" xfId="10">
      <alignment vertical="center"/>
    </xf>
    <xf numFmtId="0" fontId="4" fillId="0" borderId="0" xfId="10" applyFont="1">
      <alignment vertical="center"/>
    </xf>
    <xf numFmtId="0" fontId="22" fillId="6" borderId="2" xfId="10" applyFont="1" applyFill="1" applyBorder="1" applyAlignment="1">
      <alignment horizontal="center" vertical="center" wrapText="1"/>
    </xf>
    <xf numFmtId="0" fontId="23" fillId="7" borderId="2" xfId="10" applyFont="1" applyFill="1" applyBorder="1">
      <alignment vertical="center"/>
    </xf>
    <xf numFmtId="4" fontId="25" fillId="7" borderId="2" xfId="10" applyNumberFormat="1" applyFont="1" applyFill="1" applyBorder="1" applyAlignment="1">
      <alignment horizontal="center" vertical="center"/>
    </xf>
    <xf numFmtId="4" fontId="26" fillId="7" borderId="2" xfId="10" applyNumberFormat="1" applyFont="1" applyFill="1" applyBorder="1" applyAlignment="1">
      <alignment horizontal="center" vertical="center"/>
    </xf>
    <xf numFmtId="0" fontId="23" fillId="8" borderId="2" xfId="10" applyFont="1" applyFill="1" applyBorder="1">
      <alignment vertical="center"/>
    </xf>
    <xf numFmtId="4" fontId="26" fillId="8" borderId="2" xfId="10" applyNumberFormat="1" applyFont="1" applyFill="1" applyBorder="1" applyAlignment="1">
      <alignment horizontal="center" vertical="center"/>
    </xf>
    <xf numFmtId="4" fontId="29" fillId="0" borderId="0" xfId="10" applyNumberFormat="1">
      <alignment vertical="center"/>
    </xf>
    <xf numFmtId="4" fontId="27" fillId="9" borderId="2" xfId="10" applyNumberFormat="1" applyFont="1" applyFill="1" applyBorder="1" applyAlignment="1">
      <alignment horizontal="center" vertical="center"/>
    </xf>
    <xf numFmtId="4" fontId="27" fillId="10" borderId="2" xfId="10" applyNumberFormat="1" applyFont="1" applyFill="1" applyBorder="1" applyAlignment="1">
      <alignment horizontal="center" vertical="center"/>
    </xf>
    <xf numFmtId="4" fontId="24" fillId="8" borderId="2" xfId="10" applyNumberFormat="1" applyFont="1" applyFill="1" applyBorder="1" applyAlignment="1">
      <alignment horizontal="center" vertical="center"/>
    </xf>
    <xf numFmtId="0" fontId="30" fillId="0" borderId="0" xfId="10" applyFont="1">
      <alignment vertical="center"/>
    </xf>
    <xf numFmtId="4" fontId="27" fillId="11" borderId="2" xfId="10" applyNumberFormat="1" applyFont="1" applyFill="1" applyBorder="1" applyAlignment="1">
      <alignment horizontal="center" vertical="center"/>
    </xf>
    <xf numFmtId="16" fontId="29" fillId="0" borderId="0" xfId="10" applyNumberFormat="1">
      <alignment vertical="center"/>
    </xf>
    <xf numFmtId="0" fontId="0" fillId="0" borderId="0" xfId="10" applyFont="1">
      <alignment vertical="center"/>
    </xf>
    <xf numFmtId="0" fontId="31" fillId="0" borderId="0" xfId="10" applyFont="1">
      <alignment vertical="center"/>
    </xf>
    <xf numFmtId="4" fontId="26" fillId="8" borderId="2" xfId="10" applyNumberFormat="1" applyFont="1" applyFill="1" applyBorder="1" applyAlignment="1">
      <alignment horizontal="center" vertical="center" wrapText="1"/>
    </xf>
    <xf numFmtId="4" fontId="26" fillId="12" borderId="2" xfId="10" applyNumberFormat="1" applyFont="1" applyFill="1" applyBorder="1" applyAlignment="1">
      <alignment horizontal="center" vertical="center"/>
    </xf>
    <xf numFmtId="0" fontId="29" fillId="0" borderId="0" xfId="10" applyAlignment="1">
      <alignment horizontal="center" vertical="center"/>
    </xf>
    <xf numFmtId="0" fontId="31" fillId="13" borderId="0" xfId="10" applyFont="1" applyFill="1">
      <alignment vertical="center"/>
    </xf>
    <xf numFmtId="0" fontId="29" fillId="0" borderId="0" xfId="10">
      <alignment vertical="center"/>
    </xf>
    <xf numFmtId="9" fontId="29" fillId="0" borderId="0" xfId="10" applyNumberFormat="1">
      <alignment vertical="center"/>
    </xf>
    <xf numFmtId="0" fontId="5" fillId="0" borderId="1" xfId="2" applyFont="1" applyBorder="1" applyAlignment="1">
      <alignment horizontal="center" vertical="center" wrapText="1" shrinkToFit="1"/>
    </xf>
    <xf numFmtId="0" fontId="7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4" fillId="0" borderId="10" xfId="6" applyFont="1" applyBorder="1" applyAlignment="1">
      <alignment horizontal="left" vertical="center"/>
    </xf>
    <xf numFmtId="0" fontId="21" fillId="5" borderId="0" xfId="9" applyFont="1" applyFill="1" applyAlignment="1">
      <alignment horizontal="center" vertical="center"/>
    </xf>
    <xf numFmtId="0" fontId="27" fillId="9" borderId="11" xfId="9" applyFont="1" applyFill="1" applyBorder="1" applyAlignment="1">
      <alignment horizontal="center" vertical="center"/>
    </xf>
    <xf numFmtId="0" fontId="27" fillId="9" borderId="12" xfId="9" applyFont="1" applyFill="1" applyBorder="1" applyAlignment="1">
      <alignment horizontal="center" vertical="center"/>
    </xf>
    <xf numFmtId="0" fontId="27" fillId="11" borderId="11" xfId="10" applyFont="1" applyFill="1" applyBorder="1" applyAlignment="1">
      <alignment horizontal="center" vertical="center"/>
    </xf>
    <xf numFmtId="0" fontId="27" fillId="11" borderId="12" xfId="10" applyFont="1" applyFill="1" applyBorder="1" applyAlignment="1">
      <alignment horizontal="center" vertical="center"/>
    </xf>
    <xf numFmtId="0" fontId="21" fillId="5" borderId="0" xfId="10" applyFont="1" applyFill="1" applyAlignment="1">
      <alignment horizontal="center" vertical="center" wrapText="1"/>
    </xf>
    <xf numFmtId="4" fontId="27" fillId="10" borderId="11" xfId="10" applyNumberFormat="1" applyFont="1" applyFill="1" applyBorder="1" applyAlignment="1">
      <alignment horizontal="center" vertical="center"/>
    </xf>
    <xf numFmtId="4" fontId="27" fillId="10" borderId="12" xfId="10" applyNumberFormat="1" applyFont="1" applyFill="1" applyBorder="1" applyAlignment="1">
      <alignment horizontal="center" vertical="center"/>
    </xf>
  </cellXfs>
  <cellStyles count="13">
    <cellStyle name="Milliers" xfId="1" builtinId="3"/>
    <cellStyle name="Milliers 2" xfId="5" xr:uid="{00000000-0005-0000-0000-000001000000}"/>
    <cellStyle name="Milliers 3" xfId="4" xr:uid="{00000000-0005-0000-0000-000002000000}"/>
    <cellStyle name="Milliers 3 2" xfId="11" xr:uid="{CC53373B-7592-4F07-8556-C7800BC05946}"/>
    <cellStyle name="Normal" xfId="0" builtinId="0"/>
    <cellStyle name="Normal 13 2" xfId="7" xr:uid="{00000000-0005-0000-0000-000004000000}"/>
    <cellStyle name="Normal 2" xfId="8" xr:uid="{D92E4B37-2350-4301-BE52-E147EBA882F5}"/>
    <cellStyle name="Normal 2 10 2" xfId="2" xr:uid="{00000000-0005-0000-0000-000005000000}"/>
    <cellStyle name="Normal 2 2" xfId="12" xr:uid="{C9A17083-86BA-44EE-828C-7C35F195DDA8}"/>
    <cellStyle name="Normal 3" xfId="9" xr:uid="{22C0BA6A-740C-4DEC-91B6-7EBDE8F3E4CB}"/>
    <cellStyle name="Normal 4" xfId="10" xr:uid="{64476018-EF36-4D3A-B5FC-FB9B7C22E660}"/>
    <cellStyle name="Normal 4 2" xfId="6" xr:uid="{00000000-0005-0000-0000-000006000000}"/>
    <cellStyle name="Normal 7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C-007\Desktop\BOIS&amp;CO\1-AFFAIRE\tableau%20des%20avances%20consolid&#233;(1)%20(2)%20(3).xlsx" TargetMode="External"/><Relationship Id="rId1" Type="http://schemas.openxmlformats.org/officeDocument/2006/relationships/externalLinkPath" Target="/Users/BC-007/Desktop/BOIS&amp;CO/1-AFFAIRE/tableau%20des%20avances%20consolid&#233;(1)%20(2)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"/>
      <sheetName val="ATTACHEMENT "/>
    </sheetNames>
    <sheetDataSet>
      <sheetData sheetId="0">
        <row r="6">
          <cell r="E6">
            <v>15000</v>
          </cell>
        </row>
        <row r="7">
          <cell r="E7">
            <v>15000</v>
          </cell>
        </row>
        <row r="8">
          <cell r="E8">
            <v>3900</v>
          </cell>
        </row>
        <row r="9">
          <cell r="E9">
            <v>8000</v>
          </cell>
        </row>
        <row r="10">
          <cell r="E10">
            <v>5000</v>
          </cell>
        </row>
        <row r="11">
          <cell r="E11">
            <v>1000</v>
          </cell>
        </row>
        <row r="12">
          <cell r="E12">
            <v>5000</v>
          </cell>
        </row>
        <row r="17">
          <cell r="E17">
            <v>15000</v>
          </cell>
        </row>
        <row r="18">
          <cell r="E18">
            <v>7500</v>
          </cell>
        </row>
        <row r="19">
          <cell r="E19">
            <v>18400</v>
          </cell>
        </row>
        <row r="20">
          <cell r="E20">
            <v>8000</v>
          </cell>
        </row>
        <row r="21">
          <cell r="E21">
            <v>1500</v>
          </cell>
        </row>
        <row r="22">
          <cell r="E22">
            <v>300</v>
          </cell>
        </row>
        <row r="23">
          <cell r="E23">
            <v>2500</v>
          </cell>
        </row>
        <row r="36">
          <cell r="E36">
            <v>10000</v>
          </cell>
        </row>
        <row r="37">
          <cell r="E37">
            <v>8000</v>
          </cell>
        </row>
        <row r="38">
          <cell r="E38">
            <v>1500</v>
          </cell>
        </row>
        <row r="39">
          <cell r="E39">
            <v>15000</v>
          </cell>
        </row>
        <row r="40">
          <cell r="E40">
            <v>10000</v>
          </cell>
        </row>
        <row r="41">
          <cell r="E41">
            <v>15000</v>
          </cell>
        </row>
        <row r="42">
          <cell r="E42">
            <v>4000</v>
          </cell>
        </row>
        <row r="43">
          <cell r="E43">
            <v>10000</v>
          </cell>
        </row>
        <row r="44">
          <cell r="E44">
            <v>37000</v>
          </cell>
        </row>
        <row r="45">
          <cell r="E45">
            <v>5000</v>
          </cell>
        </row>
        <row r="46">
          <cell r="E46">
            <v>3000</v>
          </cell>
        </row>
        <row r="47">
          <cell r="E47">
            <v>3000</v>
          </cell>
        </row>
        <row r="48">
          <cell r="E48">
            <v>8800</v>
          </cell>
        </row>
        <row r="50">
          <cell r="E50">
            <v>5000</v>
          </cell>
        </row>
        <row r="51">
          <cell r="E51">
            <v>5000</v>
          </cell>
        </row>
        <row r="52">
          <cell r="E52">
            <v>5000</v>
          </cell>
        </row>
        <row r="53">
          <cell r="E53">
            <v>5000</v>
          </cell>
        </row>
        <row r="54">
          <cell r="E54">
            <v>5000</v>
          </cell>
        </row>
        <row r="55">
          <cell r="E55">
            <v>12500</v>
          </cell>
        </row>
        <row r="56">
          <cell r="E56">
            <v>5000</v>
          </cell>
        </row>
        <row r="57">
          <cell r="E57">
            <v>5000</v>
          </cell>
        </row>
        <row r="58">
          <cell r="E58">
            <v>5000</v>
          </cell>
        </row>
        <row r="59">
          <cell r="E59">
            <v>8000</v>
          </cell>
        </row>
        <row r="60">
          <cell r="E60">
            <v>2000</v>
          </cell>
        </row>
        <row r="62">
          <cell r="E62">
            <v>40000</v>
          </cell>
        </row>
        <row r="63">
          <cell r="E63">
            <v>5000</v>
          </cell>
        </row>
        <row r="64">
          <cell r="E64">
            <v>40000</v>
          </cell>
        </row>
        <row r="65">
          <cell r="E65">
            <v>40000</v>
          </cell>
        </row>
        <row r="66">
          <cell r="E66">
            <v>5000</v>
          </cell>
        </row>
        <row r="67">
          <cell r="E67">
            <v>5000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288E-5726-4FAA-A0D0-7A2BE398CC79}">
  <dimension ref="A1:E35"/>
  <sheetViews>
    <sheetView topLeftCell="A2" zoomScale="85" zoomScaleNormal="85" workbookViewId="0">
      <selection activeCell="G9" sqref="G9"/>
    </sheetView>
  </sheetViews>
  <sheetFormatPr baseColWidth="10" defaultColWidth="11.44140625" defaultRowHeight="14.4"/>
  <cols>
    <col min="1" max="1" width="52.44140625" style="2" customWidth="1"/>
    <col min="2" max="2" width="47.109375" style="2" bestFit="1" customWidth="1"/>
    <col min="3" max="5" width="31.5546875" style="2" customWidth="1"/>
    <col min="6" max="6" width="12.33203125" style="2" bestFit="1" customWidth="1"/>
    <col min="7" max="16384" width="11.44140625" style="2"/>
  </cols>
  <sheetData>
    <row r="1" spans="1:5" ht="21.6" thickBot="1">
      <c r="A1" s="1"/>
      <c r="B1" s="1"/>
      <c r="C1" s="1"/>
      <c r="D1" s="1"/>
      <c r="E1" s="1"/>
    </row>
    <row r="2" spans="1:5" ht="21.6" thickBot="1">
      <c r="A2" s="1"/>
      <c r="B2" s="1"/>
      <c r="C2" s="70" t="s">
        <v>0</v>
      </c>
      <c r="D2" s="70"/>
      <c r="E2" s="70"/>
    </row>
    <row r="3" spans="1:5" ht="21.6" thickBot="1">
      <c r="A3" s="1"/>
      <c r="B3" s="1"/>
      <c r="C3" s="70"/>
      <c r="D3" s="70"/>
      <c r="E3" s="70"/>
    </row>
    <row r="4" spans="1:5" ht="21.6" thickBot="1">
      <c r="A4" s="3" t="s">
        <v>1</v>
      </c>
      <c r="B4" s="1"/>
      <c r="C4" s="70"/>
      <c r="D4" s="70"/>
      <c r="E4" s="70"/>
    </row>
    <row r="5" spans="1:5" ht="21.6" thickBot="1">
      <c r="A5" s="4"/>
      <c r="B5" s="5"/>
      <c r="C5" s="70"/>
      <c r="D5" s="70"/>
      <c r="E5" s="70"/>
    </row>
    <row r="6" spans="1:5" ht="21.6" thickBot="1">
      <c r="A6" s="4"/>
      <c r="B6" s="5"/>
      <c r="C6" s="70"/>
      <c r="D6" s="70"/>
      <c r="E6" s="70"/>
    </row>
    <row r="7" spans="1:5" ht="21">
      <c r="A7" s="25"/>
      <c r="B7" s="25"/>
      <c r="C7" s="25"/>
      <c r="D7" s="25"/>
      <c r="E7" s="25"/>
    </row>
    <row r="8" spans="1:5" ht="66" customHeight="1">
      <c r="A8" s="6" t="s">
        <v>2</v>
      </c>
      <c r="B8" s="6" t="s">
        <v>3</v>
      </c>
      <c r="C8" s="7" t="s">
        <v>4</v>
      </c>
      <c r="D8" s="7" t="s">
        <v>5</v>
      </c>
      <c r="E8" s="6" t="s">
        <v>6</v>
      </c>
    </row>
    <row r="9" spans="1:5" ht="39.75" customHeight="1">
      <c r="A9" s="8">
        <v>46258</v>
      </c>
      <c r="B9" s="9" t="s">
        <v>107</v>
      </c>
      <c r="C9" s="10">
        <v>0</v>
      </c>
      <c r="D9" s="7" t="s">
        <v>7</v>
      </c>
      <c r="E9" s="6">
        <v>2020</v>
      </c>
    </row>
    <row r="10" spans="1:5" ht="21">
      <c r="A10" s="11"/>
      <c r="B10" s="25"/>
      <c r="C10" s="25"/>
      <c r="D10" s="25"/>
      <c r="E10" s="25"/>
    </row>
    <row r="11" spans="1:5" ht="21">
      <c r="A11" s="12" t="s">
        <v>8</v>
      </c>
      <c r="B11" s="12" t="s">
        <v>9</v>
      </c>
      <c r="C11" s="12" t="s">
        <v>10</v>
      </c>
      <c r="D11" s="13" t="s">
        <v>11</v>
      </c>
      <c r="E11" s="14" t="s">
        <v>12</v>
      </c>
    </row>
    <row r="12" spans="1:5" ht="21">
      <c r="A12" s="15" t="s">
        <v>108</v>
      </c>
      <c r="B12" s="15" t="s">
        <v>13</v>
      </c>
      <c r="C12" s="16">
        <v>1</v>
      </c>
      <c r="D12" s="16">
        <f>'ATTACHEMENT CONSOLIDE 310826'!T11</f>
        <v>753685</v>
      </c>
      <c r="E12" s="16">
        <f>+C12*D12</f>
        <v>753685</v>
      </c>
    </row>
    <row r="13" spans="1:5" ht="21.6" thickBot="1">
      <c r="A13" s="17"/>
      <c r="B13" s="17"/>
      <c r="C13" s="25"/>
      <c r="D13" s="25"/>
      <c r="E13" s="18"/>
    </row>
    <row r="14" spans="1:5" ht="21">
      <c r="A14" s="25"/>
      <c r="B14" s="25"/>
      <c r="D14" s="19" t="s">
        <v>14</v>
      </c>
      <c r="E14" s="20">
        <f>SUM(E12:E13)</f>
        <v>753685</v>
      </c>
    </row>
    <row r="15" spans="1:5" ht="21">
      <c r="A15" s="25"/>
      <c r="B15" s="25"/>
      <c r="D15" s="21" t="s">
        <v>15</v>
      </c>
      <c r="E15" s="22">
        <f>E14*20%</f>
        <v>150737</v>
      </c>
    </row>
    <row r="16" spans="1:5" ht="21.6" thickBot="1">
      <c r="A16" s="25"/>
      <c r="B16" s="25"/>
      <c r="D16" s="23" t="s">
        <v>16</v>
      </c>
      <c r="E16" s="24">
        <f>SUM(E14:E15)</f>
        <v>904422</v>
      </c>
    </row>
    <row r="17" spans="1:5" ht="21">
      <c r="A17" s="25"/>
      <c r="B17" s="25"/>
      <c r="C17" s="25"/>
      <c r="D17" s="25"/>
      <c r="E17" s="25"/>
    </row>
    <row r="18" spans="1:5" ht="21">
      <c r="A18" s="25"/>
      <c r="B18" s="25"/>
      <c r="C18" s="25"/>
      <c r="D18" s="25"/>
      <c r="E18" s="25"/>
    </row>
    <row r="19" spans="1:5" ht="21">
      <c r="A19" s="71" t="s">
        <v>17</v>
      </c>
      <c r="B19" s="71"/>
      <c r="C19" s="25"/>
      <c r="D19" s="25"/>
      <c r="E19" s="25"/>
    </row>
    <row r="20" spans="1:5" ht="21">
      <c r="A20" s="72"/>
      <c r="B20" s="72"/>
      <c r="C20" s="25"/>
      <c r="D20" s="25"/>
      <c r="E20" s="25"/>
    </row>
    <row r="21" spans="1:5" ht="21">
      <c r="A21" s="25"/>
      <c r="B21" s="25"/>
      <c r="C21" s="25"/>
      <c r="D21" s="25"/>
      <c r="E21" s="25"/>
    </row>
    <row r="22" spans="1:5" ht="21">
      <c r="A22" s="25"/>
      <c r="B22" s="25"/>
      <c r="C22" s="25"/>
      <c r="D22" s="25"/>
      <c r="E22" s="25"/>
    </row>
    <row r="23" spans="1:5" ht="21">
      <c r="A23" s="25"/>
      <c r="B23" s="25"/>
      <c r="C23" s="25"/>
      <c r="D23" s="25"/>
      <c r="E23" s="25"/>
    </row>
    <row r="24" spans="1:5" ht="21">
      <c r="A24" s="25"/>
      <c r="B24" s="25"/>
      <c r="C24" s="25"/>
      <c r="D24" s="25"/>
      <c r="E24" s="25"/>
    </row>
    <row r="25" spans="1:5" ht="21">
      <c r="A25" s="25"/>
      <c r="B25" s="25"/>
      <c r="C25" s="25"/>
      <c r="D25" s="25"/>
      <c r="E25" s="25"/>
    </row>
    <row r="26" spans="1:5" ht="21">
      <c r="A26" s="25"/>
      <c r="B26" s="25"/>
      <c r="C26" s="25"/>
      <c r="D26" s="25"/>
      <c r="E26" s="25"/>
    </row>
    <row r="27" spans="1:5">
      <c r="A27" s="26"/>
      <c r="B27" s="26"/>
      <c r="C27" s="26"/>
      <c r="D27" s="26"/>
      <c r="E27" s="26"/>
    </row>
    <row r="28" spans="1:5">
      <c r="A28" s="26"/>
      <c r="B28" s="26"/>
      <c r="C28" s="26"/>
      <c r="D28" s="26"/>
      <c r="E28" s="26"/>
    </row>
    <row r="29" spans="1:5">
      <c r="A29" s="27"/>
      <c r="B29" s="27"/>
      <c r="C29" s="26"/>
      <c r="D29" s="26"/>
      <c r="E29" s="26"/>
    </row>
    <row r="30" spans="1:5">
      <c r="A30" s="26"/>
      <c r="B30" s="26"/>
      <c r="C30" s="26"/>
      <c r="D30" s="26"/>
      <c r="E30" s="26"/>
    </row>
    <row r="31" spans="1:5">
      <c r="A31" s="26"/>
      <c r="B31" s="26"/>
      <c r="C31" s="26"/>
      <c r="D31" s="26"/>
      <c r="E31" s="26"/>
    </row>
    <row r="32" spans="1:5">
      <c r="A32" s="26"/>
      <c r="B32" s="26"/>
      <c r="C32" s="26"/>
      <c r="D32" s="26"/>
      <c r="E32" s="26"/>
    </row>
    <row r="33" spans="1:5">
      <c r="A33" s="28" t="s">
        <v>18</v>
      </c>
      <c r="B33" s="28"/>
      <c r="C33" s="26"/>
      <c r="D33" s="26"/>
      <c r="E33" s="26"/>
    </row>
    <row r="34" spans="1:5" ht="15.6">
      <c r="A34" s="73" t="s">
        <v>19</v>
      </c>
      <c r="B34" s="73"/>
      <c r="C34" s="73"/>
      <c r="D34" s="29"/>
      <c r="E34" s="30" t="s">
        <v>20</v>
      </c>
    </row>
    <row r="35" spans="1:5" ht="15.6">
      <c r="A35" s="31" t="s">
        <v>21</v>
      </c>
      <c r="B35" s="31" t="s">
        <v>22</v>
      </c>
      <c r="C35" s="32" t="s">
        <v>23</v>
      </c>
      <c r="D35" s="31" t="s">
        <v>24</v>
      </c>
      <c r="E35" s="33" t="s">
        <v>25</v>
      </c>
    </row>
  </sheetData>
  <mergeCells count="4">
    <mergeCell ref="C2:E6"/>
    <mergeCell ref="A19:B19"/>
    <mergeCell ref="A20:B20"/>
    <mergeCell ref="A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3B7B-138A-4BA4-9F6C-A97E3D589938}">
  <dimension ref="A1:K11"/>
  <sheetViews>
    <sheetView topLeftCell="B1" zoomScale="64" zoomScaleNormal="64" workbookViewId="0">
      <selection activeCell="P12" sqref="P12"/>
    </sheetView>
  </sheetViews>
  <sheetFormatPr baseColWidth="10" defaultColWidth="8.88671875" defaultRowHeight="14.4"/>
  <cols>
    <col min="1" max="1" width="22.44140625" style="34" customWidth="1"/>
    <col min="2" max="2" width="24.109375" style="34" customWidth="1"/>
    <col min="3" max="10" width="17.33203125" style="34" customWidth="1"/>
    <col min="11" max="11" width="17.33203125" style="34" hidden="1" customWidth="1"/>
    <col min="12" max="16384" width="8.88671875" style="34"/>
  </cols>
  <sheetData>
    <row r="1" spans="1:11" ht="20.25" customHeight="1">
      <c r="A1" s="74" t="s">
        <v>39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 ht="20.2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54">
      <c r="A4" s="36" t="s">
        <v>26</v>
      </c>
      <c r="B4" s="36" t="s">
        <v>27</v>
      </c>
      <c r="C4" s="36" t="s">
        <v>40</v>
      </c>
      <c r="D4" s="36" t="s">
        <v>41</v>
      </c>
      <c r="E4" s="36" t="s">
        <v>42</v>
      </c>
      <c r="F4" s="36" t="s">
        <v>43</v>
      </c>
      <c r="G4" s="36" t="s">
        <v>44</v>
      </c>
      <c r="H4" s="36" t="s">
        <v>45</v>
      </c>
      <c r="I4" s="36" t="s">
        <v>46</v>
      </c>
      <c r="J4" s="36" t="s">
        <v>48</v>
      </c>
      <c r="K4" s="36" t="s">
        <v>47</v>
      </c>
    </row>
    <row r="5" spans="1:11" ht="42" customHeight="1">
      <c r="A5" s="37" t="s">
        <v>28</v>
      </c>
      <c r="B5" s="37" t="s">
        <v>29</v>
      </c>
      <c r="C5" s="38"/>
      <c r="D5" s="38"/>
      <c r="E5" s="38"/>
      <c r="F5" s="38"/>
      <c r="G5" s="38"/>
      <c r="H5" s="38"/>
      <c r="I5" s="39">
        <f>SUM([1]DETAIL!E6:E12)</f>
        <v>52900</v>
      </c>
      <c r="J5" s="38">
        <v>0</v>
      </c>
      <c r="K5" s="38">
        <v>100000</v>
      </c>
    </row>
    <row r="6" spans="1:11" ht="42" customHeight="1">
      <c r="A6" s="40" t="s">
        <v>30</v>
      </c>
      <c r="B6" s="40" t="s">
        <v>31</v>
      </c>
      <c r="C6" s="41"/>
      <c r="D6" s="41"/>
      <c r="E6" s="41"/>
      <c r="F6" s="41"/>
      <c r="G6" s="41"/>
      <c r="H6" s="42"/>
      <c r="I6" s="43">
        <f>SUM([1]DETAIL!E50:E60)</f>
        <v>62500</v>
      </c>
      <c r="J6" s="41">
        <v>0</v>
      </c>
      <c r="K6" s="41">
        <v>100000</v>
      </c>
    </row>
    <row r="7" spans="1:11" ht="42" customHeight="1">
      <c r="A7" s="37" t="s">
        <v>28</v>
      </c>
      <c r="B7" s="37" t="s">
        <v>32</v>
      </c>
      <c r="C7" s="38"/>
      <c r="D7" s="38"/>
      <c r="E7" s="38"/>
      <c r="F7" s="38"/>
      <c r="G7" s="38"/>
      <c r="H7" s="38"/>
      <c r="I7" s="39">
        <f>SUM([1]DETAIL!E17:E23)</f>
        <v>53200</v>
      </c>
      <c r="J7" s="38">
        <v>0</v>
      </c>
      <c r="K7" s="38">
        <v>70000</v>
      </c>
    </row>
    <row r="8" spans="1:11" ht="42" customHeight="1">
      <c r="A8" s="40" t="s">
        <v>33</v>
      </c>
      <c r="B8" s="40" t="s">
        <v>34</v>
      </c>
      <c r="C8" s="43">
        <v>62500</v>
      </c>
      <c r="D8" s="43">
        <v>103690</v>
      </c>
      <c r="E8" s="43">
        <v>61660</v>
      </c>
      <c r="F8" s="43">
        <v>82970</v>
      </c>
      <c r="G8" s="43">
        <v>208120</v>
      </c>
      <c r="H8" s="43">
        <v>148000</v>
      </c>
      <c r="I8" s="43">
        <f>SUM([1]DETAIL!E62:E67)</f>
        <v>135000</v>
      </c>
      <c r="J8" s="41">
        <v>100000</v>
      </c>
      <c r="K8" s="41">
        <v>120000</v>
      </c>
    </row>
    <row r="9" spans="1:11" ht="42" customHeight="1">
      <c r="A9" s="37" t="s">
        <v>28</v>
      </c>
      <c r="B9" s="37" t="s">
        <v>35</v>
      </c>
      <c r="C9" s="44">
        <v>0</v>
      </c>
      <c r="D9" s="44">
        <v>0</v>
      </c>
      <c r="E9" s="44">
        <v>179500</v>
      </c>
      <c r="F9" s="44">
        <v>149500</v>
      </c>
      <c r="G9" s="44">
        <v>255630</v>
      </c>
      <c r="H9" s="44">
        <v>146000</v>
      </c>
      <c r="I9" s="39">
        <f>SUM([1]DETAIL!E36:E48)</f>
        <v>130300</v>
      </c>
      <c r="J9" s="38">
        <v>100000</v>
      </c>
      <c r="K9" s="38">
        <v>40000</v>
      </c>
    </row>
    <row r="10" spans="1:11" ht="42" customHeight="1">
      <c r="A10" s="40" t="s">
        <v>36</v>
      </c>
      <c r="B10" s="40" t="s">
        <v>37</v>
      </c>
      <c r="C10" s="42">
        <v>71947</v>
      </c>
      <c r="D10" s="42">
        <v>100000</v>
      </c>
      <c r="E10" s="42">
        <v>53000</v>
      </c>
      <c r="F10" s="42">
        <v>155057</v>
      </c>
      <c r="G10" s="43">
        <v>130000</v>
      </c>
      <c r="H10" s="42">
        <v>0</v>
      </c>
      <c r="I10" s="43">
        <v>93840</v>
      </c>
      <c r="J10" s="41">
        <v>0</v>
      </c>
      <c r="K10" s="41">
        <v>100000</v>
      </c>
    </row>
    <row r="11" spans="1:11" ht="41.25" customHeight="1">
      <c r="A11" s="75" t="s">
        <v>38</v>
      </c>
      <c r="B11" s="76"/>
      <c r="C11" s="45">
        <f>SUM(C5:C10)</f>
        <v>134447</v>
      </c>
      <c r="D11" s="45">
        <f t="shared" ref="D11:K11" si="0">SUM(D5:D10)</f>
        <v>203690</v>
      </c>
      <c r="E11" s="45">
        <f t="shared" si="0"/>
        <v>294160</v>
      </c>
      <c r="F11" s="45">
        <f t="shared" si="0"/>
        <v>387527</v>
      </c>
      <c r="G11" s="45">
        <f t="shared" si="0"/>
        <v>593750</v>
      </c>
      <c r="H11" s="45">
        <f t="shared" si="0"/>
        <v>294000</v>
      </c>
      <c r="I11" s="45">
        <f t="shared" si="0"/>
        <v>527740</v>
      </c>
      <c r="J11" s="46">
        <f t="shared" si="0"/>
        <v>200000</v>
      </c>
      <c r="K11" s="46">
        <f t="shared" si="0"/>
        <v>530000</v>
      </c>
    </row>
  </sheetData>
  <mergeCells count="2">
    <mergeCell ref="A1:K2"/>
    <mergeCell ref="A11:B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F102-CEEA-4E82-8CB0-7A2B488C0627}">
  <dimension ref="A1:V72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77" sqref="R77"/>
    </sheetView>
  </sheetViews>
  <sheetFormatPr baseColWidth="10" defaultColWidth="8.88671875" defaultRowHeight="18"/>
  <cols>
    <col min="1" max="1" width="27.5546875" style="47" customWidth="1"/>
    <col min="2" max="2" width="33.44140625" style="47" customWidth="1"/>
    <col min="3" max="15" width="17.33203125" style="47" customWidth="1"/>
    <col min="16" max="17" width="19.109375" style="47" customWidth="1"/>
    <col min="18" max="19" width="19.109375" style="68" customWidth="1"/>
    <col min="20" max="20" width="19.109375" style="47" customWidth="1"/>
    <col min="21" max="21" width="22.5546875" style="47" customWidth="1"/>
    <col min="22" max="22" width="14.109375" style="59" customWidth="1"/>
    <col min="23" max="16384" width="8.88671875" style="47"/>
  </cols>
  <sheetData>
    <row r="1" spans="1:21" ht="20.25" customHeight="1">
      <c r="A1" s="79" t="s">
        <v>53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 ht="20.2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0.199999999999999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</row>
    <row r="4" spans="1:21" ht="36">
      <c r="A4" s="49" t="s">
        <v>26</v>
      </c>
      <c r="B4" s="49" t="s">
        <v>27</v>
      </c>
      <c r="C4" s="49" t="s">
        <v>40</v>
      </c>
      <c r="D4" s="49" t="s">
        <v>41</v>
      </c>
      <c r="E4" s="49" t="s">
        <v>42</v>
      </c>
      <c r="F4" s="49" t="s">
        <v>43</v>
      </c>
      <c r="G4" s="49" t="s">
        <v>44</v>
      </c>
      <c r="H4" s="49" t="s">
        <v>45</v>
      </c>
      <c r="I4" s="49" t="s">
        <v>46</v>
      </c>
      <c r="J4" s="49" t="s">
        <v>49</v>
      </c>
      <c r="K4" s="49" t="s">
        <v>50</v>
      </c>
      <c r="L4" s="49" t="s">
        <v>51</v>
      </c>
      <c r="M4" s="49" t="s">
        <v>54</v>
      </c>
      <c r="N4" s="49" t="s">
        <v>55</v>
      </c>
      <c r="O4" s="49" t="s">
        <v>56</v>
      </c>
      <c r="P4" s="49" t="s">
        <v>57</v>
      </c>
      <c r="Q4" s="49" t="s">
        <v>95</v>
      </c>
      <c r="R4" s="49" t="s">
        <v>111</v>
      </c>
      <c r="S4" s="49" t="s">
        <v>109</v>
      </c>
      <c r="T4" s="49" t="s">
        <v>110</v>
      </c>
      <c r="U4" s="49" t="s">
        <v>52</v>
      </c>
    </row>
    <row r="5" spans="1:21" ht="42" customHeight="1">
      <c r="A5" s="50" t="s">
        <v>28</v>
      </c>
      <c r="B5" s="50" t="s">
        <v>29</v>
      </c>
      <c r="C5" s="51">
        <v>140900</v>
      </c>
      <c r="D5" s="51">
        <v>145710</v>
      </c>
      <c r="E5" s="51">
        <v>180500</v>
      </c>
      <c r="F5" s="51">
        <v>50000</v>
      </c>
      <c r="G5" s="51">
        <v>89500</v>
      </c>
      <c r="H5" s="51">
        <v>120000</v>
      </c>
      <c r="I5" s="51">
        <f>SUM([1]DETAIL!E6:E12)</f>
        <v>52900</v>
      </c>
      <c r="J5" s="52">
        <v>0</v>
      </c>
      <c r="K5" s="52">
        <v>100000</v>
      </c>
      <c r="L5" s="52">
        <v>0</v>
      </c>
      <c r="M5" s="52">
        <v>0</v>
      </c>
      <c r="N5" s="52">
        <v>0</v>
      </c>
      <c r="O5" s="52">
        <v>134000</v>
      </c>
      <c r="P5" s="52">
        <v>70000</v>
      </c>
      <c r="Q5" s="52">
        <f>160800-P5</f>
        <v>90800</v>
      </c>
      <c r="R5" s="52">
        <v>0</v>
      </c>
      <c r="S5" s="52">
        <v>94450</v>
      </c>
      <c r="T5" s="52">
        <v>83000</v>
      </c>
      <c r="U5" s="60">
        <f>SUM(C5:T5)</f>
        <v>1351760</v>
      </c>
    </row>
    <row r="6" spans="1:21" ht="42" customHeight="1">
      <c r="A6" s="53" t="s">
        <v>30</v>
      </c>
      <c r="B6" s="53" t="s">
        <v>31</v>
      </c>
      <c r="C6" s="54"/>
      <c r="D6" s="54"/>
      <c r="E6" s="54">
        <v>104820</v>
      </c>
      <c r="F6" s="54">
        <v>133620</v>
      </c>
      <c r="G6" s="54"/>
      <c r="H6" s="54"/>
      <c r="I6" s="54">
        <f>SUM([1]DETAIL!E50:E60)</f>
        <v>62500</v>
      </c>
      <c r="J6" s="54">
        <v>0</v>
      </c>
      <c r="K6" s="54">
        <v>100000</v>
      </c>
      <c r="L6" s="54">
        <v>0</v>
      </c>
      <c r="M6" s="54">
        <v>0</v>
      </c>
      <c r="N6" s="54">
        <v>0</v>
      </c>
      <c r="O6" s="54">
        <v>106000</v>
      </c>
      <c r="P6" s="54">
        <v>160090</v>
      </c>
      <c r="Q6" s="54">
        <v>0</v>
      </c>
      <c r="R6" s="54">
        <v>0</v>
      </c>
      <c r="S6" s="54">
        <v>100706.66666666667</v>
      </c>
      <c r="T6" s="54">
        <v>165880</v>
      </c>
      <c r="U6" s="60">
        <f t="shared" ref="U6:U10" si="0">SUM(C6:T6)</f>
        <v>933616.66666666663</v>
      </c>
    </row>
    <row r="7" spans="1:21" ht="42" customHeight="1">
      <c r="A7" s="50" t="s">
        <v>28</v>
      </c>
      <c r="B7" s="50" t="s">
        <v>32</v>
      </c>
      <c r="C7" s="52">
        <v>0</v>
      </c>
      <c r="D7" s="52">
        <v>66600</v>
      </c>
      <c r="E7" s="52">
        <v>28950</v>
      </c>
      <c r="F7" s="52">
        <v>66180</v>
      </c>
      <c r="G7" s="52">
        <v>76585</v>
      </c>
      <c r="H7" s="52"/>
      <c r="I7" s="52">
        <v>53200</v>
      </c>
      <c r="J7" s="52">
        <v>0</v>
      </c>
      <c r="K7" s="52">
        <v>70000</v>
      </c>
      <c r="L7" s="52">
        <v>0</v>
      </c>
      <c r="M7" s="52">
        <v>0</v>
      </c>
      <c r="N7" s="52">
        <v>0</v>
      </c>
      <c r="O7" s="52">
        <v>65000</v>
      </c>
      <c r="P7" s="52">
        <v>68600</v>
      </c>
      <c r="Q7" s="52">
        <v>0</v>
      </c>
      <c r="R7" s="52">
        <v>0</v>
      </c>
      <c r="S7" s="52">
        <v>61460</v>
      </c>
      <c r="T7" s="52">
        <v>0</v>
      </c>
      <c r="U7" s="60">
        <f t="shared" si="0"/>
        <v>556575</v>
      </c>
    </row>
    <row r="8" spans="1:21" ht="42" customHeight="1">
      <c r="A8" s="53" t="s">
        <v>33</v>
      </c>
      <c r="B8" s="53" t="s">
        <v>34</v>
      </c>
      <c r="C8" s="54">
        <v>62500</v>
      </c>
      <c r="D8" s="54">
        <v>103690</v>
      </c>
      <c r="E8" s="54">
        <v>61660</v>
      </c>
      <c r="F8" s="54">
        <v>82970</v>
      </c>
      <c r="G8" s="54">
        <v>208120</v>
      </c>
      <c r="H8" s="54">
        <v>148000</v>
      </c>
      <c r="I8" s="54">
        <f>SUM([1]DETAIL!E62:E67)</f>
        <v>135000</v>
      </c>
      <c r="J8" s="54">
        <v>100000</v>
      </c>
      <c r="K8" s="54">
        <v>120000</v>
      </c>
      <c r="L8" s="54">
        <v>0</v>
      </c>
      <c r="M8" s="54">
        <v>0</v>
      </c>
      <c r="N8" s="54">
        <v>0</v>
      </c>
      <c r="O8" s="54">
        <v>282054.2</v>
      </c>
      <c r="P8" s="54">
        <v>100000</v>
      </c>
      <c r="Q8" s="54">
        <f>205000-P8</f>
        <v>105000</v>
      </c>
      <c r="R8" s="54">
        <v>0</v>
      </c>
      <c r="S8" s="54">
        <v>140630</v>
      </c>
      <c r="T8" s="54">
        <v>243020</v>
      </c>
      <c r="U8" s="60">
        <f t="shared" si="0"/>
        <v>1892644.2</v>
      </c>
    </row>
    <row r="9" spans="1:21" ht="42" customHeight="1">
      <c r="A9" s="50" t="s">
        <v>28</v>
      </c>
      <c r="B9" s="50" t="s">
        <v>35</v>
      </c>
      <c r="C9" s="52">
        <v>46910</v>
      </c>
      <c r="D9" s="52">
        <v>145500</v>
      </c>
      <c r="E9" s="52">
        <v>179500</v>
      </c>
      <c r="F9" s="52">
        <v>149500</v>
      </c>
      <c r="G9" s="52">
        <v>255630</v>
      </c>
      <c r="H9" s="52">
        <v>146000</v>
      </c>
      <c r="I9" s="51">
        <f>SUM([1]DETAIL!E36:E48)</f>
        <v>130300</v>
      </c>
      <c r="J9" s="52">
        <v>100000</v>
      </c>
      <c r="K9" s="52">
        <v>40000</v>
      </c>
      <c r="L9" s="52">
        <v>0</v>
      </c>
      <c r="M9" s="52">
        <v>0</v>
      </c>
      <c r="N9" s="52">
        <v>173530</v>
      </c>
      <c r="O9" s="52">
        <v>112550</v>
      </c>
      <c r="P9" s="52">
        <v>100000</v>
      </c>
      <c r="Q9" s="52">
        <f>235100-100000</f>
        <v>135100</v>
      </c>
      <c r="R9" s="52">
        <v>0</v>
      </c>
      <c r="S9" s="52">
        <v>109815</v>
      </c>
      <c r="T9" s="52">
        <v>154285</v>
      </c>
      <c r="U9" s="60">
        <f t="shared" si="0"/>
        <v>1978620</v>
      </c>
    </row>
    <row r="10" spans="1:21" ht="42" customHeight="1">
      <c r="A10" s="53" t="s">
        <v>36</v>
      </c>
      <c r="B10" s="53" t="s">
        <v>37</v>
      </c>
      <c r="C10" s="54">
        <v>71947</v>
      </c>
      <c r="D10" s="54">
        <v>100000</v>
      </c>
      <c r="E10" s="54">
        <v>53000</v>
      </c>
      <c r="F10" s="54">
        <v>155057</v>
      </c>
      <c r="G10" s="54">
        <v>130000</v>
      </c>
      <c r="H10" s="54">
        <v>0</v>
      </c>
      <c r="I10" s="54">
        <v>93840</v>
      </c>
      <c r="J10" s="54">
        <v>0</v>
      </c>
      <c r="K10" s="54">
        <v>100000</v>
      </c>
      <c r="L10" s="54">
        <v>20000</v>
      </c>
      <c r="M10" s="54">
        <v>35000</v>
      </c>
      <c r="N10" s="54">
        <v>0</v>
      </c>
      <c r="O10" s="54">
        <v>98000</v>
      </c>
      <c r="P10" s="54">
        <v>100000</v>
      </c>
      <c r="Q10" s="54">
        <f>230000-P10</f>
        <v>130000</v>
      </c>
      <c r="R10" s="54">
        <f>9000*2</f>
        <v>18000</v>
      </c>
      <c r="S10" s="54">
        <v>104711</v>
      </c>
      <c r="T10" s="54">
        <v>107500</v>
      </c>
      <c r="U10" s="60">
        <f t="shared" si="0"/>
        <v>1317055</v>
      </c>
    </row>
    <row r="11" spans="1:21" ht="41.25" customHeight="1">
      <c r="A11" s="77" t="s">
        <v>38</v>
      </c>
      <c r="B11" s="78"/>
      <c r="C11" s="60">
        <f>SUM(C5:C10)</f>
        <v>322257</v>
      </c>
      <c r="D11" s="60">
        <f t="shared" ref="D11:P11" si="1">SUM(D5:D10)</f>
        <v>561500</v>
      </c>
      <c r="E11" s="60">
        <f t="shared" si="1"/>
        <v>608430</v>
      </c>
      <c r="F11" s="60">
        <f t="shared" si="1"/>
        <v>637327</v>
      </c>
      <c r="G11" s="60">
        <f t="shared" si="1"/>
        <v>759835</v>
      </c>
      <c r="H11" s="60">
        <f t="shared" si="1"/>
        <v>414000</v>
      </c>
      <c r="I11" s="60">
        <f t="shared" si="1"/>
        <v>527740</v>
      </c>
      <c r="J11" s="60">
        <f t="shared" si="1"/>
        <v>200000</v>
      </c>
      <c r="K11" s="60">
        <f t="shared" si="1"/>
        <v>530000</v>
      </c>
      <c r="L11" s="60">
        <f t="shared" si="1"/>
        <v>20000</v>
      </c>
      <c r="M11" s="60">
        <f t="shared" si="1"/>
        <v>35000</v>
      </c>
      <c r="N11" s="60">
        <f t="shared" si="1"/>
        <v>173530</v>
      </c>
      <c r="O11" s="60">
        <f t="shared" ref="O11" si="2">SUM(O5:O10)</f>
        <v>797604.2</v>
      </c>
      <c r="P11" s="60">
        <f t="shared" si="1"/>
        <v>598690</v>
      </c>
      <c r="Q11" s="60">
        <f t="shared" ref="Q11:T11" si="3">SUM(Q5:Q10)</f>
        <v>460900</v>
      </c>
      <c r="R11" s="60">
        <f t="shared" ref="R11:S11" si="4">SUM(R5:R10)</f>
        <v>18000</v>
      </c>
      <c r="S11" s="60">
        <f t="shared" si="4"/>
        <v>611772.66666666674</v>
      </c>
      <c r="T11" s="60">
        <f t="shared" si="3"/>
        <v>753685</v>
      </c>
      <c r="U11" s="57">
        <f>SUM(U5:U10)</f>
        <v>8030270.8666666662</v>
      </c>
    </row>
    <row r="12" spans="1:21" ht="27.6" customHeight="1">
      <c r="Q12" s="55"/>
      <c r="R12" s="55"/>
      <c r="S12" s="55"/>
      <c r="T12" s="55"/>
    </row>
    <row r="13" spans="1:21">
      <c r="P13" s="55"/>
      <c r="Q13" s="55"/>
      <c r="R13" s="55"/>
      <c r="S13" s="55"/>
      <c r="T13" s="55"/>
    </row>
    <row r="14" spans="1:21" hidden="1">
      <c r="B14" s="63" t="s">
        <v>75</v>
      </c>
    </row>
    <row r="15" spans="1:21" hidden="1">
      <c r="C15" s="61">
        <v>46234</v>
      </c>
      <c r="D15" s="61">
        <v>46218</v>
      </c>
    </row>
    <row r="16" spans="1:21" hidden="1">
      <c r="B16" s="54" t="s">
        <v>59</v>
      </c>
      <c r="C16" s="54">
        <v>15000</v>
      </c>
      <c r="D16" s="54">
        <v>30000</v>
      </c>
      <c r="I16" s="54">
        <v>100000</v>
      </c>
    </row>
    <row r="17" spans="2:15" hidden="1">
      <c r="B17" s="54" t="s">
        <v>61</v>
      </c>
      <c r="C17" s="54">
        <v>7000</v>
      </c>
      <c r="D17" s="54"/>
      <c r="I17" s="54">
        <v>15000</v>
      </c>
    </row>
    <row r="18" spans="2:15" hidden="1">
      <c r="B18" s="54" t="s">
        <v>58</v>
      </c>
      <c r="C18" s="54">
        <v>20000</v>
      </c>
      <c r="D18" s="54">
        <v>20000</v>
      </c>
      <c r="I18" s="54">
        <v>20000</v>
      </c>
    </row>
    <row r="19" spans="2:15" hidden="1">
      <c r="B19" s="54" t="s">
        <v>60</v>
      </c>
      <c r="C19" s="54">
        <v>5000</v>
      </c>
      <c r="D19" s="54">
        <v>10000</v>
      </c>
      <c r="I19" s="54">
        <v>25000</v>
      </c>
    </row>
    <row r="20" spans="2:15" hidden="1">
      <c r="B20" s="54" t="s">
        <v>62</v>
      </c>
      <c r="C20" s="54">
        <v>7000</v>
      </c>
      <c r="D20" s="54">
        <v>10000</v>
      </c>
      <c r="I20" s="54">
        <v>6000</v>
      </c>
    </row>
    <row r="21" spans="2:15" hidden="1">
      <c r="B21" s="65" t="s">
        <v>63</v>
      </c>
      <c r="C21" s="65">
        <v>10000</v>
      </c>
      <c r="D21" s="54"/>
      <c r="I21" s="54">
        <v>35000</v>
      </c>
    </row>
    <row r="22" spans="2:15" hidden="1">
      <c r="B22" s="54" t="s">
        <v>64</v>
      </c>
      <c r="C22" s="54">
        <v>3000</v>
      </c>
      <c r="D22" s="54"/>
      <c r="I22" s="58">
        <f>SUM(I16:I21)</f>
        <v>201000</v>
      </c>
    </row>
    <row r="23" spans="2:15" hidden="1">
      <c r="B23" s="54" t="s">
        <v>65</v>
      </c>
      <c r="C23" s="54">
        <v>5000</v>
      </c>
      <c r="D23" s="54"/>
    </row>
    <row r="24" spans="2:15" hidden="1">
      <c r="B24" s="54" t="s">
        <v>66</v>
      </c>
      <c r="C24" s="54">
        <v>18280</v>
      </c>
      <c r="D24" s="54"/>
    </row>
    <row r="25" spans="2:15" hidden="1">
      <c r="B25" s="65" t="s">
        <v>67</v>
      </c>
      <c r="C25" s="65">
        <v>4200</v>
      </c>
      <c r="D25" s="54"/>
    </row>
    <row r="26" spans="2:15" hidden="1">
      <c r="B26" s="54" t="s">
        <v>68</v>
      </c>
      <c r="C26" s="54">
        <v>50000</v>
      </c>
      <c r="D26" s="54">
        <v>56000</v>
      </c>
      <c r="O26" s="58">
        <v>205000</v>
      </c>
    </row>
    <row r="27" spans="2:15" hidden="1">
      <c r="B27" s="54" t="s">
        <v>69</v>
      </c>
      <c r="C27" s="54">
        <v>7000</v>
      </c>
      <c r="D27" s="54"/>
      <c r="O27" s="55">
        <f>+P9-O26</f>
        <v>-105000</v>
      </c>
    </row>
    <row r="28" spans="2:15" hidden="1">
      <c r="B28" s="54" t="s">
        <v>69</v>
      </c>
      <c r="C28" s="54">
        <v>5000</v>
      </c>
      <c r="D28" s="54"/>
    </row>
    <row r="29" spans="2:15" hidden="1">
      <c r="B29" s="54" t="s">
        <v>70</v>
      </c>
      <c r="C29" s="54">
        <v>6000</v>
      </c>
      <c r="D29" s="54"/>
    </row>
    <row r="30" spans="2:15" hidden="1">
      <c r="B30" s="54" t="s">
        <v>71</v>
      </c>
      <c r="C30" s="54">
        <v>7310</v>
      </c>
      <c r="D30" s="54"/>
    </row>
    <row r="31" spans="2:15" hidden="1">
      <c r="B31" s="54" t="s">
        <v>72</v>
      </c>
      <c r="C31" s="54">
        <v>35000</v>
      </c>
      <c r="D31" s="54">
        <v>70000</v>
      </c>
    </row>
    <row r="32" spans="2:15" hidden="1">
      <c r="C32" s="54">
        <f>SUM(C16:C31)</f>
        <v>204790</v>
      </c>
    </row>
    <row r="33" spans="2:7" hidden="1"/>
    <row r="34" spans="2:7" hidden="1">
      <c r="B34" s="63" t="s">
        <v>74</v>
      </c>
    </row>
    <row r="35" spans="2:7" hidden="1">
      <c r="C35" s="61">
        <v>46234</v>
      </c>
      <c r="D35" s="61">
        <v>46218</v>
      </c>
    </row>
    <row r="36" spans="2:7" hidden="1">
      <c r="B36" s="54" t="s">
        <v>73</v>
      </c>
      <c r="C36" s="54">
        <v>21600</v>
      </c>
      <c r="D36" s="54">
        <v>9000</v>
      </c>
    </row>
    <row r="37" spans="2:7" hidden="1">
      <c r="B37" s="54" t="s">
        <v>76</v>
      </c>
      <c r="C37" s="54">
        <v>13500</v>
      </c>
      <c r="D37" s="54"/>
      <c r="E37" s="66">
        <f>+(180*50)</f>
        <v>9000</v>
      </c>
      <c r="F37" s="66">
        <v>4500</v>
      </c>
      <c r="G37" s="66">
        <f>+E37+F37</f>
        <v>13500</v>
      </c>
    </row>
    <row r="38" spans="2:7" hidden="1">
      <c r="B38" s="54" t="s">
        <v>77</v>
      </c>
      <c r="C38" s="54">
        <v>3250</v>
      </c>
      <c r="D38" s="54"/>
      <c r="E38" s="62" t="s">
        <v>87</v>
      </c>
    </row>
    <row r="39" spans="2:7" hidden="1">
      <c r="B39" s="54" t="s">
        <v>78</v>
      </c>
      <c r="C39" s="54">
        <v>7000</v>
      </c>
      <c r="D39" s="54"/>
      <c r="E39" s="62">
        <f>(140*50)</f>
        <v>7000</v>
      </c>
    </row>
    <row r="40" spans="2:7" ht="36" hidden="1">
      <c r="B40" s="64" t="s">
        <v>79</v>
      </c>
      <c r="C40" s="54">
        <v>7500</v>
      </c>
      <c r="D40" s="54"/>
    </row>
    <row r="41" spans="2:7" ht="34.200000000000003" hidden="1" customHeight="1">
      <c r="B41" s="64" t="s">
        <v>79</v>
      </c>
      <c r="C41" s="54">
        <v>7500</v>
      </c>
      <c r="D41" s="54"/>
    </row>
    <row r="42" spans="2:7" hidden="1">
      <c r="B42" s="54" t="s">
        <v>82</v>
      </c>
      <c r="C42" s="54">
        <v>1800</v>
      </c>
      <c r="D42" s="54"/>
    </row>
    <row r="43" spans="2:7" hidden="1">
      <c r="B43" s="54" t="s">
        <v>80</v>
      </c>
      <c r="C43" s="54">
        <v>6500</v>
      </c>
      <c r="D43" s="54"/>
    </row>
    <row r="44" spans="2:7" hidden="1">
      <c r="B44" s="54" t="s">
        <v>81</v>
      </c>
      <c r="C44" s="54">
        <v>9750</v>
      </c>
      <c r="D44" s="54"/>
    </row>
    <row r="45" spans="2:7" hidden="1">
      <c r="B45" s="54" t="s">
        <v>83</v>
      </c>
      <c r="C45" s="54">
        <v>11300</v>
      </c>
      <c r="D45" s="54"/>
      <c r="G45" s="62" t="s">
        <v>93</v>
      </c>
    </row>
    <row r="46" spans="2:7" hidden="1">
      <c r="B46" s="54" t="s">
        <v>85</v>
      </c>
      <c r="C46" s="54">
        <v>25000</v>
      </c>
      <c r="D46" s="54"/>
    </row>
    <row r="47" spans="2:7" hidden="1">
      <c r="B47" s="54" t="s">
        <v>86</v>
      </c>
      <c r="C47" s="54">
        <v>16000</v>
      </c>
      <c r="D47" s="54"/>
      <c r="E47" s="62" t="s">
        <v>87</v>
      </c>
    </row>
    <row r="48" spans="2:7" hidden="1">
      <c r="B48" s="54" t="s">
        <v>88</v>
      </c>
      <c r="C48" s="54"/>
      <c r="D48" s="54">
        <v>14750</v>
      </c>
    </row>
    <row r="49" spans="2:19" hidden="1">
      <c r="B49" s="54" t="s">
        <v>89</v>
      </c>
      <c r="C49" s="54">
        <v>23800</v>
      </c>
      <c r="D49" s="54"/>
    </row>
    <row r="50" spans="2:19" hidden="1">
      <c r="B50" s="54" t="s">
        <v>90</v>
      </c>
      <c r="C50" s="54">
        <v>30000</v>
      </c>
      <c r="D50" s="54"/>
      <c r="E50" s="62" t="s">
        <v>91</v>
      </c>
    </row>
    <row r="51" spans="2:19" hidden="1">
      <c r="B51" s="54" t="s">
        <v>92</v>
      </c>
      <c r="C51" s="54">
        <v>10000</v>
      </c>
      <c r="D51" s="54"/>
    </row>
    <row r="52" spans="2:19" hidden="1">
      <c r="B52" s="54" t="s">
        <v>84</v>
      </c>
      <c r="C52" s="54">
        <v>37600</v>
      </c>
      <c r="D52" s="54"/>
    </row>
    <row r="53" spans="2:19" hidden="1">
      <c r="B53" s="54" t="s">
        <v>74</v>
      </c>
      <c r="C53" s="54">
        <v>1000</v>
      </c>
      <c r="D53" s="54"/>
    </row>
    <row r="54" spans="2:19" hidden="1">
      <c r="B54" s="54" t="s">
        <v>94</v>
      </c>
      <c r="C54" s="54">
        <v>2000</v>
      </c>
      <c r="D54" s="54"/>
    </row>
    <row r="55" spans="2:19" hidden="1">
      <c r="C55" s="54">
        <f>SUM(C36:C54)</f>
        <v>235100</v>
      </c>
    </row>
    <row r="56" spans="2:19">
      <c r="P56" s="68"/>
      <c r="R56" s="55"/>
      <c r="S56" s="55"/>
    </row>
    <row r="57" spans="2:19" hidden="1">
      <c r="P57" s="68"/>
    </row>
    <row r="58" spans="2:19" ht="36" hidden="1">
      <c r="B58" s="49" t="s">
        <v>27</v>
      </c>
      <c r="C58" s="49" t="s">
        <v>96</v>
      </c>
      <c r="D58" s="49" t="s">
        <v>106</v>
      </c>
      <c r="P58" s="68"/>
    </row>
    <row r="59" spans="2:19" hidden="1">
      <c r="B59" s="50" t="s">
        <v>29</v>
      </c>
      <c r="C59" s="51">
        <v>150000</v>
      </c>
      <c r="D59" s="51">
        <f>+AVERAGE(C5,F5,I5,O5)</f>
        <v>94450</v>
      </c>
      <c r="P59" s="68"/>
    </row>
    <row r="60" spans="2:19" hidden="1">
      <c r="B60" s="53" t="s">
        <v>31</v>
      </c>
      <c r="C60" s="54">
        <v>117000</v>
      </c>
      <c r="D60" s="54">
        <f>+AVERAGE(C6,F6,I6,O6)</f>
        <v>100706.66666666667</v>
      </c>
      <c r="P60" s="68"/>
    </row>
    <row r="61" spans="2:19" hidden="1">
      <c r="B61" s="50" t="s">
        <v>32</v>
      </c>
      <c r="C61" s="52">
        <v>65000</v>
      </c>
      <c r="D61" s="52">
        <f>+AVERAGE(F7,I7,O7)</f>
        <v>61460</v>
      </c>
      <c r="K61" s="68" t="s">
        <v>105</v>
      </c>
      <c r="L61" s="47">
        <v>15000</v>
      </c>
      <c r="P61" s="68"/>
    </row>
    <row r="62" spans="2:19" hidden="1">
      <c r="B62" s="53" t="s">
        <v>34</v>
      </c>
      <c r="C62" s="54">
        <v>230000</v>
      </c>
      <c r="D62" s="54">
        <f>+AVERAGE(C8,F8,I8,O8)</f>
        <v>140631.04999999999</v>
      </c>
      <c r="K62" s="68" t="s">
        <v>104</v>
      </c>
      <c r="L62" s="47">
        <v>10000</v>
      </c>
      <c r="P62" s="68"/>
    </row>
    <row r="63" spans="2:19" hidden="1">
      <c r="B63" s="50" t="s">
        <v>35</v>
      </c>
      <c r="C63" s="52">
        <v>158880</v>
      </c>
      <c r="D63" s="52">
        <f>+AVERAGE(C9,F9,I9,O9)</f>
        <v>109815</v>
      </c>
      <c r="K63" s="68" t="s">
        <v>66</v>
      </c>
    </row>
    <row r="64" spans="2:19" hidden="1">
      <c r="B64" s="53" t="s">
        <v>37</v>
      </c>
      <c r="C64" s="54">
        <v>129800</v>
      </c>
      <c r="D64" s="54">
        <f>+AVERAGE(C10,F10,I10,O10)</f>
        <v>104711</v>
      </c>
      <c r="K64" s="68" t="s">
        <v>103</v>
      </c>
    </row>
    <row r="65" spans="3:19" ht="21" hidden="1">
      <c r="C65" s="56">
        <f>SUM(C59:C64)</f>
        <v>850680</v>
      </c>
      <c r="D65" s="56">
        <f>SUM(D59:D64)</f>
        <v>611773.71666666667</v>
      </c>
      <c r="K65" s="68" t="s">
        <v>102</v>
      </c>
      <c r="L65" s="47">
        <v>8000</v>
      </c>
    </row>
    <row r="66" spans="3:19" ht="21" hidden="1">
      <c r="C66" s="80">
        <f>C65-D65</f>
        <v>238906.28333333333</v>
      </c>
      <c r="D66" s="81"/>
      <c r="K66" s="47" t="s">
        <v>98</v>
      </c>
      <c r="L66" s="47">
        <v>11800</v>
      </c>
    </row>
    <row r="67" spans="3:19" hidden="1">
      <c r="K67" s="47" t="s">
        <v>99</v>
      </c>
      <c r="L67" s="47">
        <v>85000</v>
      </c>
    </row>
    <row r="68" spans="3:19" hidden="1">
      <c r="K68" s="47" t="s">
        <v>100</v>
      </c>
    </row>
    <row r="69" spans="3:19" hidden="1">
      <c r="K69" s="68" t="s">
        <v>101</v>
      </c>
    </row>
    <row r="70" spans="3:19" hidden="1">
      <c r="K70" s="68" t="s">
        <v>97</v>
      </c>
      <c r="L70" s="67">
        <f>SUM(L61:L69)</f>
        <v>129800</v>
      </c>
    </row>
    <row r="71" spans="3:19">
      <c r="R71" s="69"/>
      <c r="S71" s="69"/>
    </row>
    <row r="72" spans="3:19">
      <c r="R72" s="55"/>
      <c r="S72" s="55"/>
    </row>
  </sheetData>
  <mergeCells count="3">
    <mergeCell ref="A11:B11"/>
    <mergeCell ref="A1:U2"/>
    <mergeCell ref="C66:D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AT-SAV</vt:lpstr>
      <vt:lpstr>CONSOLIDATION 260626</vt:lpstr>
      <vt:lpstr>ATTACHEMENT CONSOLIDE 310826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mehdi MOUNACHE</dc:creator>
  <cp:lastModifiedBy>ELHAJ ECHCHORFI</cp:lastModifiedBy>
  <dcterms:created xsi:type="dcterms:W3CDTF">2026-02-27T16:44:12Z</dcterms:created>
  <dcterms:modified xsi:type="dcterms:W3CDTF">2026-08-25T23:48:19Z</dcterms:modified>
</cp:coreProperties>
</file>