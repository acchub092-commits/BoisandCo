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-007\Desktop\BOIS&amp;CO\1-AFFAIRE\TEMARA AVENUE\"/>
    </mc:Choice>
  </mc:AlternateContent>
  <xr:revisionPtr revIDLastSave="0" documentId="13_ncr:1_{CA91CF32-89BC-4BBA-A060-1330CEC6BBD9}" xr6:coauthVersionLast="47" xr6:coauthVersionMax="47" xr10:uidLastSave="{00000000-0000-0000-0000-000000000000}"/>
  <bookViews>
    <workbookView xWindow="-108" yWindow="-108" windowWidth="23256" windowHeight="12576" tabRatio="730" activeTab="5" xr2:uid="{9CCE1BF3-0F53-4BB5-98A2-581CD5008D4B}"/>
  </bookViews>
  <sheets>
    <sheet name="A5" sheetId="3" r:id="rId1"/>
    <sheet name="A4" sheetId="4" r:id="rId2"/>
    <sheet name="A3" sheetId="5" r:id="rId3"/>
    <sheet name="A2" sheetId="1" r:id="rId4"/>
    <sheet name="A1" sheetId="7" r:id="rId5"/>
    <sheet name="RECAP" sheetId="8" r:id="rId6"/>
    <sheet name="Feuil1" sheetId="9" r:id="rId7"/>
  </sheets>
  <definedNames>
    <definedName name="_xlnm.Print_Area" localSheetId="4">'A1'!$A$1:$AJ$52</definedName>
    <definedName name="_xlnm.Print_Area" localSheetId="3">'A2'!$A$1:$AJ$40</definedName>
    <definedName name="_xlnm.Print_Area" localSheetId="2">'A3'!$A$1:$AS$40</definedName>
    <definedName name="_xlnm.Print_Area" localSheetId="1">'A4'!$A$1:$AF$40</definedName>
    <definedName name="_xlnm.Print_Area" localSheetId="0">'A5'!$A$1:$AJ$40</definedName>
    <definedName name="_xlnm.Print_Area" localSheetId="5">RECAP!$A$1:$U$66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7" l="1"/>
  <c r="D63" i="8"/>
  <c r="AD62" i="8"/>
  <c r="AC62" i="8"/>
  <c r="AA62" i="8"/>
  <c r="Z62" i="8"/>
  <c r="X62" i="8"/>
  <c r="AD60" i="8"/>
  <c r="AC60" i="8"/>
  <c r="AA60" i="8"/>
  <c r="Z60" i="8"/>
  <c r="X60" i="8"/>
  <c r="AD61" i="8"/>
  <c r="AC61" i="8"/>
  <c r="AA61" i="8"/>
  <c r="Z61" i="8"/>
  <c r="X61" i="8"/>
  <c r="AD63" i="8"/>
  <c r="AC63" i="8"/>
  <c r="AA63" i="8"/>
  <c r="Z63" i="8"/>
  <c r="X63" i="8"/>
  <c r="AD59" i="8"/>
  <c r="AC59" i="8"/>
  <c r="AA59" i="8"/>
  <c r="Z59" i="8"/>
  <c r="X59" i="8"/>
  <c r="AD58" i="8"/>
  <c r="AC58" i="8"/>
  <c r="AA58" i="8"/>
  <c r="Z58" i="8"/>
  <c r="X58" i="8"/>
  <c r="AD57" i="8"/>
  <c r="AC57" i="8"/>
  <c r="AA57" i="8"/>
  <c r="Z57" i="8"/>
  <c r="X57" i="8"/>
  <c r="D47" i="7" l="1"/>
  <c r="D46" i="7"/>
  <c r="E39" i="8" l="1"/>
  <c r="AJ52" i="7" l="1"/>
  <c r="E46" i="8" s="1"/>
  <c r="K46" i="8" s="1"/>
  <c r="M46" i="8" s="1"/>
  <c r="AJ51" i="7"/>
  <c r="E45" i="8" s="1"/>
  <c r="K45" i="8" s="1"/>
  <c r="M45" i="8" s="1"/>
  <c r="AJ50" i="7"/>
  <c r="E44" i="8" s="1"/>
  <c r="K44" i="8" s="1"/>
  <c r="M44" i="8" s="1"/>
  <c r="AJ49" i="7"/>
  <c r="E43" i="8" s="1"/>
  <c r="AJ48" i="7"/>
  <c r="E42" i="8" s="1"/>
  <c r="K42" i="8" s="1"/>
  <c r="M42" i="8" s="1"/>
  <c r="AJ47" i="7"/>
  <c r="E41" i="8" s="1"/>
  <c r="K41" i="8" s="1"/>
  <c r="M41" i="8" s="1"/>
  <c r="AJ46" i="7"/>
  <c r="E40" i="8" s="1"/>
  <c r="K40" i="8" s="1"/>
  <c r="M40" i="8" s="1"/>
  <c r="AJ45" i="7"/>
  <c r="AJ44" i="7"/>
  <c r="AJ43" i="7"/>
  <c r="AJ42" i="7"/>
  <c r="AJ41" i="7"/>
  <c r="K39" i="8"/>
  <c r="M39" i="8" s="1"/>
  <c r="K43" i="8"/>
  <c r="M43" i="8" s="1"/>
  <c r="AD46" i="8"/>
  <c r="AC46" i="8"/>
  <c r="AA46" i="8"/>
  <c r="Z46" i="8"/>
  <c r="X46" i="8"/>
  <c r="AD45" i="8"/>
  <c r="AC45" i="8"/>
  <c r="AA45" i="8"/>
  <c r="Z45" i="8"/>
  <c r="X45" i="8"/>
  <c r="AD44" i="8"/>
  <c r="AC44" i="8"/>
  <c r="AA44" i="8"/>
  <c r="Z44" i="8"/>
  <c r="X44" i="8"/>
  <c r="AD43" i="8"/>
  <c r="AC43" i="8"/>
  <c r="AA43" i="8"/>
  <c r="Z43" i="8"/>
  <c r="X43" i="8"/>
  <c r="AD42" i="8"/>
  <c r="AC42" i="8"/>
  <c r="AA42" i="8"/>
  <c r="Z42" i="8"/>
  <c r="X42" i="8"/>
  <c r="AD41" i="8"/>
  <c r="AC41" i="8"/>
  <c r="AA41" i="8"/>
  <c r="Z41" i="8"/>
  <c r="X41" i="8"/>
  <c r="R41" i="8"/>
  <c r="AD40" i="8"/>
  <c r="AC40" i="8"/>
  <c r="AA40" i="8"/>
  <c r="Z40" i="8"/>
  <c r="X40" i="8"/>
  <c r="AD39" i="8"/>
  <c r="AC39" i="8"/>
  <c r="AA39" i="8"/>
  <c r="Z39" i="8"/>
  <c r="X39" i="8"/>
  <c r="S20" i="8"/>
  <c r="S9" i="8"/>
  <c r="S43" i="8" l="1"/>
  <c r="H18" i="8"/>
  <c r="I18" i="8"/>
  <c r="H19" i="8"/>
  <c r="I19" i="8"/>
  <c r="H20" i="8"/>
  <c r="I20" i="8"/>
  <c r="H21" i="8"/>
  <c r="I21" i="8"/>
  <c r="H22" i="8"/>
  <c r="I22" i="8"/>
  <c r="H23" i="8"/>
  <c r="I23" i="8"/>
  <c r="F10" i="8"/>
  <c r="I10" i="8"/>
  <c r="F11" i="8"/>
  <c r="H11" i="8"/>
  <c r="I11" i="8"/>
  <c r="H12" i="8"/>
  <c r="I12" i="8"/>
  <c r="F13" i="8"/>
  <c r="H13" i="8"/>
  <c r="I13" i="8"/>
  <c r="J23" i="8"/>
  <c r="G15" i="8"/>
  <c r="G16" i="8"/>
  <c r="G14" i="8"/>
  <c r="U43" i="8" l="1"/>
  <c r="S45" i="8"/>
  <c r="J38" i="8"/>
  <c r="J37" i="8"/>
  <c r="J36" i="8"/>
  <c r="J35" i="8"/>
  <c r="J34" i="8"/>
  <c r="J33" i="8"/>
  <c r="J32" i="8"/>
  <c r="J31" i="8"/>
  <c r="J30" i="8"/>
  <c r="J29" i="8"/>
  <c r="J27" i="8"/>
  <c r="J26" i="8"/>
  <c r="J25" i="8"/>
  <c r="J24" i="8"/>
  <c r="J17" i="8"/>
  <c r="J16" i="8"/>
  <c r="J15" i="8"/>
  <c r="J14" i="8"/>
  <c r="J13" i="8"/>
  <c r="J11" i="8"/>
  <c r="J9" i="8"/>
  <c r="J8" i="8"/>
  <c r="J7" i="8"/>
  <c r="J6" i="8"/>
  <c r="AF32" i="4"/>
  <c r="AF33" i="4"/>
  <c r="AF34" i="4"/>
  <c r="J48" i="8" l="1"/>
  <c r="U44" i="8"/>
  <c r="I35" i="8"/>
  <c r="I36" i="8"/>
  <c r="H37" i="8"/>
  <c r="I37" i="8"/>
  <c r="H38" i="8"/>
  <c r="I38" i="8"/>
  <c r="AD35" i="8"/>
  <c r="AC35" i="8"/>
  <c r="AA35" i="8"/>
  <c r="Z35" i="8"/>
  <c r="X35" i="8"/>
  <c r="AJ37" i="7"/>
  <c r="E35" i="8" s="1"/>
  <c r="AS37" i="5"/>
  <c r="AJ37" i="1"/>
  <c r="F35" i="8" s="1"/>
  <c r="AF37" i="4"/>
  <c r="H35" i="8" s="1"/>
  <c r="AJ37" i="3"/>
  <c r="AD38" i="8"/>
  <c r="AC38" i="8"/>
  <c r="AA38" i="8"/>
  <c r="Z38" i="8"/>
  <c r="AD37" i="8"/>
  <c r="AC37" i="8"/>
  <c r="AA37" i="8"/>
  <c r="Z37" i="8"/>
  <c r="AD36" i="8"/>
  <c r="AC36" i="8"/>
  <c r="AA36" i="8"/>
  <c r="Z36" i="8"/>
  <c r="AD34" i="8"/>
  <c r="AC34" i="8"/>
  <c r="AA34" i="8"/>
  <c r="Z34" i="8"/>
  <c r="AD33" i="8"/>
  <c r="AC33" i="8"/>
  <c r="AA33" i="8"/>
  <c r="Z33" i="8"/>
  <c r="AD32" i="8"/>
  <c r="AC32" i="8"/>
  <c r="AA32" i="8"/>
  <c r="Z32" i="8"/>
  <c r="AD31" i="8"/>
  <c r="AC31" i="8"/>
  <c r="AA31" i="8"/>
  <c r="Z31" i="8"/>
  <c r="AD30" i="8"/>
  <c r="AC30" i="8"/>
  <c r="AA30" i="8"/>
  <c r="Z30" i="8"/>
  <c r="AD29" i="8"/>
  <c r="AC29" i="8"/>
  <c r="AA29" i="8"/>
  <c r="Z29" i="8"/>
  <c r="AD28" i="8"/>
  <c r="AC28" i="8"/>
  <c r="AA28" i="8"/>
  <c r="Z28" i="8"/>
  <c r="AD27" i="8"/>
  <c r="AC27" i="8"/>
  <c r="AA27" i="8"/>
  <c r="Z27" i="8"/>
  <c r="AD26" i="8"/>
  <c r="AC26" i="8"/>
  <c r="AA26" i="8"/>
  <c r="Z26" i="8"/>
  <c r="AD25" i="8"/>
  <c r="AC25" i="8"/>
  <c r="AA25" i="8"/>
  <c r="Z25" i="8"/>
  <c r="AD24" i="8"/>
  <c r="AC24" i="8"/>
  <c r="AA24" i="8"/>
  <c r="Z24" i="8"/>
  <c r="AD23" i="8"/>
  <c r="AC23" i="8"/>
  <c r="AA23" i="8"/>
  <c r="Z23" i="8"/>
  <c r="AD22" i="8"/>
  <c r="AC22" i="8"/>
  <c r="AA22" i="8"/>
  <c r="Z22" i="8"/>
  <c r="AD21" i="8"/>
  <c r="AC21" i="8"/>
  <c r="AA21" i="8"/>
  <c r="Z21" i="8"/>
  <c r="AD20" i="8"/>
  <c r="AC20" i="8"/>
  <c r="AA20" i="8"/>
  <c r="Z20" i="8"/>
  <c r="AD19" i="8"/>
  <c r="AC19" i="8"/>
  <c r="AA19" i="8"/>
  <c r="Z19" i="8"/>
  <c r="AD18" i="8"/>
  <c r="AC18" i="8"/>
  <c r="AA18" i="8"/>
  <c r="Z18" i="8"/>
  <c r="AD17" i="8"/>
  <c r="AC17" i="8"/>
  <c r="AA17" i="8"/>
  <c r="Z17" i="8"/>
  <c r="AD16" i="8"/>
  <c r="AC16" i="8"/>
  <c r="AA16" i="8"/>
  <c r="Z16" i="8"/>
  <c r="AD15" i="8"/>
  <c r="AC15" i="8"/>
  <c r="AA15" i="8"/>
  <c r="Z15" i="8"/>
  <c r="AD14" i="8"/>
  <c r="AC14" i="8"/>
  <c r="AA14" i="8"/>
  <c r="Z14" i="8"/>
  <c r="AD13" i="8"/>
  <c r="AC13" i="8"/>
  <c r="AA13" i="8"/>
  <c r="Z13" i="8"/>
  <c r="AD12" i="8"/>
  <c r="AC12" i="8"/>
  <c r="AA12" i="8"/>
  <c r="Z12" i="8"/>
  <c r="AD11" i="8"/>
  <c r="AC11" i="8"/>
  <c r="AA11" i="8"/>
  <c r="Z11" i="8"/>
  <c r="AD10" i="8"/>
  <c r="AC10" i="8"/>
  <c r="AA10" i="8"/>
  <c r="Z10" i="8"/>
  <c r="AD9" i="8"/>
  <c r="AC9" i="8"/>
  <c r="AA9" i="8"/>
  <c r="Z9" i="8"/>
  <c r="AD8" i="8"/>
  <c r="AC8" i="8"/>
  <c r="AA8" i="8"/>
  <c r="Z8" i="8"/>
  <c r="AD7" i="8"/>
  <c r="AC7" i="8"/>
  <c r="AA7" i="8"/>
  <c r="Z7" i="8"/>
  <c r="AD6" i="8"/>
  <c r="AC6" i="8"/>
  <c r="AA6" i="8"/>
  <c r="Z6" i="8"/>
  <c r="K35" i="8" l="1"/>
  <c r="M35" i="8" s="1"/>
  <c r="X38" i="8"/>
  <c r="X37" i="8"/>
  <c r="X36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R19" i="8" l="1"/>
  <c r="R8" i="8"/>
  <c r="AJ21" i="1"/>
  <c r="F19" i="8" s="1"/>
  <c r="AJ22" i="1"/>
  <c r="F20" i="8" s="1"/>
  <c r="AJ23" i="1"/>
  <c r="F21" i="8" s="1"/>
  <c r="AJ24" i="1"/>
  <c r="F22" i="8" s="1"/>
  <c r="K22" i="8" s="1"/>
  <c r="AJ25" i="1"/>
  <c r="F23" i="8" s="1"/>
  <c r="A2" i="3"/>
  <c r="A2" i="4"/>
  <c r="A2" i="5"/>
  <c r="A2" i="1"/>
  <c r="A2" i="7"/>
  <c r="AJ8" i="1"/>
  <c r="F6" i="8" s="1"/>
  <c r="AJ40" i="7"/>
  <c r="E38" i="8" s="1"/>
  <c r="AJ39" i="7"/>
  <c r="E37" i="8" s="1"/>
  <c r="AJ38" i="7"/>
  <c r="E36" i="8" s="1"/>
  <c r="AJ36" i="7"/>
  <c r="E34" i="8" s="1"/>
  <c r="AJ35" i="7"/>
  <c r="E33" i="8" s="1"/>
  <c r="AJ34" i="7"/>
  <c r="E32" i="8" s="1"/>
  <c r="AJ33" i="7"/>
  <c r="E31" i="8" s="1"/>
  <c r="AJ32" i="7"/>
  <c r="E30" i="8" s="1"/>
  <c r="AJ31" i="7"/>
  <c r="E29" i="8" s="1"/>
  <c r="AJ30" i="7"/>
  <c r="E28" i="8" s="1"/>
  <c r="AJ29" i="7"/>
  <c r="E27" i="8" s="1"/>
  <c r="AJ28" i="7"/>
  <c r="E26" i="8" s="1"/>
  <c r="AJ27" i="7"/>
  <c r="E25" i="8" s="1"/>
  <c r="AJ26" i="7"/>
  <c r="E24" i="8" s="1"/>
  <c r="AJ25" i="7"/>
  <c r="E23" i="8" s="1"/>
  <c r="AJ24" i="7"/>
  <c r="E22" i="8" s="1"/>
  <c r="AJ23" i="7"/>
  <c r="E21" i="8" s="1"/>
  <c r="AJ22" i="7"/>
  <c r="E20" i="8" s="1"/>
  <c r="AJ21" i="7"/>
  <c r="E19" i="8" s="1"/>
  <c r="AJ20" i="7"/>
  <c r="E18" i="8" s="1"/>
  <c r="AJ19" i="7"/>
  <c r="E17" i="8" s="1"/>
  <c r="AJ18" i="7"/>
  <c r="E16" i="8" s="1"/>
  <c r="AJ17" i="7"/>
  <c r="E15" i="8" s="1"/>
  <c r="AJ16" i="7"/>
  <c r="E14" i="8" s="1"/>
  <c r="AJ15" i="7"/>
  <c r="E13" i="8" s="1"/>
  <c r="K13" i="8" s="1"/>
  <c r="AJ14" i="7"/>
  <c r="E12" i="8" s="1"/>
  <c r="AJ13" i="7"/>
  <c r="E11" i="8" s="1"/>
  <c r="K11" i="8" s="1"/>
  <c r="AJ12" i="7"/>
  <c r="E10" i="8" s="1"/>
  <c r="AJ11" i="7"/>
  <c r="E9" i="8" s="1"/>
  <c r="AJ10" i="7"/>
  <c r="E8" i="8" s="1"/>
  <c r="AJ9" i="7"/>
  <c r="E7" i="8" s="1"/>
  <c r="AJ8" i="7"/>
  <c r="E6" i="8" s="1"/>
  <c r="AS40" i="5"/>
  <c r="AS39" i="5"/>
  <c r="AS38" i="5"/>
  <c r="AS36" i="5"/>
  <c r="AS35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20" i="5"/>
  <c r="AS19" i="5"/>
  <c r="G17" i="8" s="1"/>
  <c r="G48" i="8" s="1"/>
  <c r="AS18" i="5"/>
  <c r="AS17" i="5"/>
  <c r="AS16" i="5"/>
  <c r="AS15" i="5"/>
  <c r="AS11" i="5"/>
  <c r="AS10" i="5"/>
  <c r="AS9" i="5"/>
  <c r="AS8" i="5"/>
  <c r="AF40" i="4"/>
  <c r="AF39" i="4"/>
  <c r="AF38" i="4"/>
  <c r="H36" i="8" s="1"/>
  <c r="AF36" i="4"/>
  <c r="H34" i="8" s="1"/>
  <c r="AF35" i="4"/>
  <c r="H33" i="8" s="1"/>
  <c r="H32" i="8"/>
  <c r="H31" i="8"/>
  <c r="H30" i="8"/>
  <c r="AF31" i="4"/>
  <c r="H29" i="8" s="1"/>
  <c r="AF30" i="4"/>
  <c r="H28" i="8" s="1"/>
  <c r="AF29" i="4"/>
  <c r="H27" i="8" s="1"/>
  <c r="AF28" i="4"/>
  <c r="H26" i="8" s="1"/>
  <c r="AF27" i="4"/>
  <c r="H25" i="8" s="1"/>
  <c r="AF26" i="4"/>
  <c r="H24" i="8" s="1"/>
  <c r="AF25" i="4"/>
  <c r="AF24" i="4"/>
  <c r="AF23" i="4"/>
  <c r="AF22" i="4"/>
  <c r="AF21" i="4"/>
  <c r="AF20" i="4"/>
  <c r="AF19" i="4"/>
  <c r="H17" i="8" s="1"/>
  <c r="AF18" i="4"/>
  <c r="H16" i="8" s="1"/>
  <c r="AF17" i="4"/>
  <c r="H15" i="8" s="1"/>
  <c r="AF16" i="4"/>
  <c r="H14" i="8" s="1"/>
  <c r="AF15" i="4"/>
  <c r="AF11" i="4"/>
  <c r="H9" i="8" s="1"/>
  <c r="AF10" i="4"/>
  <c r="H8" i="8" s="1"/>
  <c r="AF9" i="4"/>
  <c r="H7" i="8" s="1"/>
  <c r="AF8" i="4"/>
  <c r="H6" i="8" s="1"/>
  <c r="AJ40" i="3"/>
  <c r="AJ39" i="3"/>
  <c r="AJ38" i="3"/>
  <c r="AJ36" i="3"/>
  <c r="I34" i="8" s="1"/>
  <c r="AJ35" i="3"/>
  <c r="I33" i="8" s="1"/>
  <c r="AJ34" i="3"/>
  <c r="I32" i="8" s="1"/>
  <c r="AJ33" i="3"/>
  <c r="I31" i="8" s="1"/>
  <c r="AJ32" i="3"/>
  <c r="I30" i="8" s="1"/>
  <c r="AJ31" i="3"/>
  <c r="I29" i="8" s="1"/>
  <c r="AJ30" i="3"/>
  <c r="I28" i="8" s="1"/>
  <c r="AJ29" i="3"/>
  <c r="I27" i="8" s="1"/>
  <c r="AJ28" i="3"/>
  <c r="I26" i="8" s="1"/>
  <c r="AJ27" i="3"/>
  <c r="I25" i="8" s="1"/>
  <c r="AJ26" i="3"/>
  <c r="I24" i="8" s="1"/>
  <c r="AJ25" i="3"/>
  <c r="AJ24" i="3"/>
  <c r="AJ23" i="3"/>
  <c r="AJ22" i="3"/>
  <c r="AJ21" i="3"/>
  <c r="AJ20" i="3"/>
  <c r="AJ19" i="3"/>
  <c r="I17" i="8" s="1"/>
  <c r="AJ18" i="3"/>
  <c r="I16" i="8" s="1"/>
  <c r="AJ17" i="3"/>
  <c r="I15" i="8" s="1"/>
  <c r="AJ16" i="3"/>
  <c r="I14" i="8" s="1"/>
  <c r="AJ15" i="3"/>
  <c r="AJ12" i="3"/>
  <c r="AJ11" i="3"/>
  <c r="I9" i="8" s="1"/>
  <c r="AJ10" i="3"/>
  <c r="I8" i="8" s="1"/>
  <c r="AJ9" i="3"/>
  <c r="I7" i="8" s="1"/>
  <c r="AJ8" i="3"/>
  <c r="I6" i="8" s="1"/>
  <c r="AJ29" i="1"/>
  <c r="F27" i="8" s="1"/>
  <c r="AJ28" i="1"/>
  <c r="F26" i="8" s="1"/>
  <c r="AJ27" i="1"/>
  <c r="F25" i="8" s="1"/>
  <c r="AJ26" i="1"/>
  <c r="AJ31" i="1"/>
  <c r="F29" i="8" s="1"/>
  <c r="AJ30" i="1"/>
  <c r="F28" i="8" s="1"/>
  <c r="K23" i="8" l="1"/>
  <c r="I48" i="8"/>
  <c r="K27" i="8"/>
  <c r="M27" i="8" s="1"/>
  <c r="E48" i="8"/>
  <c r="K21" i="8"/>
  <c r="K29" i="8"/>
  <c r="M29" i="8" s="1"/>
  <c r="K6" i="8"/>
  <c r="K25" i="8"/>
  <c r="M25" i="8" s="1"/>
  <c r="K26" i="8"/>
  <c r="M26" i="8" s="1"/>
  <c r="F24" i="8"/>
  <c r="K24" i="8" s="1"/>
  <c r="M24" i="8" s="1"/>
  <c r="K20" i="8"/>
  <c r="M20" i="8" s="1"/>
  <c r="K19" i="8"/>
  <c r="K28" i="8"/>
  <c r="M22" i="8"/>
  <c r="M19" i="8"/>
  <c r="M28" i="8"/>
  <c r="AS14" i="5"/>
  <c r="AS13" i="5"/>
  <c r="AS12" i="5"/>
  <c r="AF14" i="4"/>
  <c r="AF13" i="4"/>
  <c r="AF12" i="4"/>
  <c r="H10" i="8" s="1"/>
  <c r="K10" i="8" s="1"/>
  <c r="AJ40" i="1"/>
  <c r="F38" i="8" s="1"/>
  <c r="K38" i="8" s="1"/>
  <c r="AJ39" i="1"/>
  <c r="F37" i="8" s="1"/>
  <c r="K37" i="8" s="1"/>
  <c r="AJ38" i="1"/>
  <c r="F36" i="8" s="1"/>
  <c r="K36" i="8" s="1"/>
  <c r="AJ36" i="1"/>
  <c r="F34" i="8" s="1"/>
  <c r="K34" i="8" s="1"/>
  <c r="AJ35" i="1"/>
  <c r="AJ34" i="1"/>
  <c r="AJ33" i="1"/>
  <c r="AJ32" i="1"/>
  <c r="AJ20" i="1"/>
  <c r="F18" i="8" s="1"/>
  <c r="K18" i="8" s="1"/>
  <c r="AJ19" i="1"/>
  <c r="AJ18" i="1"/>
  <c r="AJ17" i="1"/>
  <c r="AJ16" i="1"/>
  <c r="AJ15" i="1"/>
  <c r="AJ14" i="1"/>
  <c r="F12" i="8" s="1"/>
  <c r="K12" i="8" s="1"/>
  <c r="AJ13" i="1"/>
  <c r="AJ12" i="1"/>
  <c r="AJ11" i="1"/>
  <c r="F9" i="8" s="1"/>
  <c r="K9" i="8" s="1"/>
  <c r="AJ10" i="1"/>
  <c r="F8" i="8" s="1"/>
  <c r="K8" i="8" s="1"/>
  <c r="AJ9" i="1"/>
  <c r="F7" i="8" s="1"/>
  <c r="K7" i="8" s="1"/>
  <c r="H48" i="8" l="1"/>
  <c r="M6" i="8"/>
  <c r="F15" i="8"/>
  <c r="F33" i="8"/>
  <c r="F16" i="8"/>
  <c r="M34" i="8"/>
  <c r="F17" i="8"/>
  <c r="M36" i="8"/>
  <c r="M37" i="8"/>
  <c r="M38" i="8"/>
  <c r="F30" i="8"/>
  <c r="F31" i="8"/>
  <c r="F14" i="8"/>
  <c r="F32" i="8"/>
  <c r="M21" i="8"/>
  <c r="M23" i="8"/>
  <c r="M13" i="8"/>
  <c r="M7" i="8"/>
  <c r="M8" i="8"/>
  <c r="M9" i="8"/>
  <c r="M18" i="8"/>
  <c r="AJ14" i="3"/>
  <c r="AJ13" i="3"/>
  <c r="F48" i="8" l="1"/>
  <c r="K32" i="8"/>
  <c r="M32" i="8" s="1"/>
  <c r="K31" i="8"/>
  <c r="M31" i="8" s="1"/>
  <c r="K33" i="8"/>
  <c r="M33" i="8" s="1"/>
  <c r="K30" i="8"/>
  <c r="M30" i="8" s="1"/>
  <c r="K17" i="8"/>
  <c r="M17" i="8" s="1"/>
  <c r="S21" i="8"/>
  <c r="U21" i="8" s="1"/>
  <c r="K14" i="8"/>
  <c r="M14" i="8" s="1"/>
  <c r="K16" i="8"/>
  <c r="M16" i="8" s="1"/>
  <c r="K15" i="8"/>
  <c r="M15" i="8" s="1"/>
  <c r="M10" i="8"/>
  <c r="M11" i="8"/>
  <c r="K48" i="8" l="1"/>
  <c r="S23" i="8"/>
  <c r="U22" i="8" s="1"/>
  <c r="M12" i="8"/>
  <c r="S10" i="8" s="1"/>
  <c r="S12" i="8" s="1"/>
  <c r="S54" i="8" l="1"/>
  <c r="U10" i="8" l="1"/>
  <c r="U11" i="8" l="1"/>
</calcChain>
</file>

<file path=xl/sharedStrings.xml><?xml version="1.0" encoding="utf-8"?>
<sst xmlns="http://schemas.openxmlformats.org/spreadsheetml/2006/main" count="577" uniqueCount="118">
  <si>
    <t>A2</t>
  </si>
  <si>
    <t>A1</t>
  </si>
  <si>
    <t>CUISINE</t>
  </si>
  <si>
    <t>A3</t>
  </si>
  <si>
    <t>A4</t>
  </si>
  <si>
    <t>A5</t>
  </si>
  <si>
    <t>Imposte</t>
  </si>
  <si>
    <t>Cadre + Panneau</t>
  </si>
  <si>
    <t>Chambranle + Habillage</t>
  </si>
  <si>
    <t>Butoirs, Judas, Poignée et serrures , Canon</t>
  </si>
  <si>
    <t>Butoirs, Poignée et serrures, Canon &amp; Condamnation</t>
  </si>
  <si>
    <t>PORTES D'ENTRÉE</t>
  </si>
  <si>
    <t>PORTES INTÉRIEURES</t>
  </si>
  <si>
    <t>PORTES ESCALIERS / SECOURS</t>
  </si>
  <si>
    <t>Ferme porte, Poignée et serrures, Barre anti panique</t>
  </si>
  <si>
    <t>Boc titoir</t>
  </si>
  <si>
    <t>Amg Caisson+ Etageres</t>
  </si>
  <si>
    <t>Tringles &amp; Accessoires</t>
  </si>
  <si>
    <t>Caisson bas</t>
  </si>
  <si>
    <t>Caisson haut</t>
  </si>
  <si>
    <t>Poignées</t>
  </si>
  <si>
    <t>PDT</t>
  </si>
  <si>
    <t>Socle de sol</t>
  </si>
  <si>
    <t>Crédence</t>
  </si>
  <si>
    <t>Plinthe sur PDT</t>
  </si>
  <si>
    <t xml:space="preserve">Façades &amp; faces tiroir </t>
  </si>
  <si>
    <t>RECAP DE POSE</t>
  </si>
  <si>
    <t>APPART 1</t>
  </si>
  <si>
    <t>APPART 2</t>
  </si>
  <si>
    <t>APPART 3</t>
  </si>
  <si>
    <t>APPART 4</t>
  </si>
  <si>
    <t>APPART 5</t>
  </si>
  <si>
    <t>APPART 6</t>
  </si>
  <si>
    <t>APPART 7</t>
  </si>
  <si>
    <t>APPART 8</t>
  </si>
  <si>
    <t>APPART 9</t>
  </si>
  <si>
    <t>APPART 10</t>
  </si>
  <si>
    <t>APPART 11</t>
  </si>
  <si>
    <t>APPART 12</t>
  </si>
  <si>
    <t>APPART 13</t>
  </si>
  <si>
    <t>APPART 14</t>
  </si>
  <si>
    <t>APPART 15</t>
  </si>
  <si>
    <t>APPART 16</t>
  </si>
  <si>
    <t>APPART 17</t>
  </si>
  <si>
    <t>APPART 18</t>
  </si>
  <si>
    <t>APPART 19</t>
  </si>
  <si>
    <t>APPART 20</t>
  </si>
  <si>
    <t>APPART 21</t>
  </si>
  <si>
    <t>APPART 22</t>
  </si>
  <si>
    <t>APPART 23</t>
  </si>
  <si>
    <t>APPART 24</t>
  </si>
  <si>
    <t>APPART 25</t>
  </si>
  <si>
    <t>APPART 26</t>
  </si>
  <si>
    <t>APPART 27</t>
  </si>
  <si>
    <t>APPART 28</t>
  </si>
  <si>
    <t>APPART 29</t>
  </si>
  <si>
    <t>APPART 30</t>
  </si>
  <si>
    <t>APPART 31</t>
  </si>
  <si>
    <t>APPART 32</t>
  </si>
  <si>
    <t>APPART 33</t>
  </si>
  <si>
    <t>PLACARD TECHNIQUE</t>
  </si>
  <si>
    <t>PLACARDS</t>
  </si>
  <si>
    <t xml:space="preserve"> DRESSINGS</t>
  </si>
  <si>
    <t xml:space="preserve"> Chambranle </t>
  </si>
  <si>
    <t>Poignées et accessoires</t>
  </si>
  <si>
    <t>TEMOIN</t>
  </si>
  <si>
    <t>1ér ETAGE</t>
  </si>
  <si>
    <t>2e ETAGE</t>
  </si>
  <si>
    <t>3e ETAGE</t>
  </si>
  <si>
    <t>4e ETAGE</t>
  </si>
  <si>
    <t>5e ETAGE</t>
  </si>
  <si>
    <t>6e ETAGE</t>
  </si>
  <si>
    <t xml:space="preserve">COMMUNS </t>
  </si>
  <si>
    <t>POSEUR ZOUHAIR</t>
  </si>
  <si>
    <t xml:space="preserve">POSEUR ZEMOURI </t>
  </si>
  <si>
    <t>Ouvrants</t>
  </si>
  <si>
    <t xml:space="preserve">Chambranle </t>
  </si>
  <si>
    <t>Etageres</t>
  </si>
  <si>
    <t>Amg Caisson ( quantité en ouvrants)</t>
  </si>
  <si>
    <t>HICHAM</t>
  </si>
  <si>
    <t>AYOUB</t>
  </si>
  <si>
    <t xml:space="preserve"> 6éme étage</t>
  </si>
  <si>
    <t xml:space="preserve"> 5éme étage</t>
  </si>
  <si>
    <t>4éme étage</t>
  </si>
  <si>
    <t>3éme étage</t>
  </si>
  <si>
    <t>2éme étage</t>
  </si>
  <si>
    <t>1ér étage</t>
  </si>
  <si>
    <t>RDC</t>
  </si>
  <si>
    <t>DECOMPOSITION</t>
  </si>
  <si>
    <t>ARTICLES</t>
  </si>
  <si>
    <t xml:space="preserve"> MEZZ</t>
  </si>
  <si>
    <t>MEZZ</t>
  </si>
  <si>
    <t>QUANTITÉ MARCHÉ</t>
  </si>
  <si>
    <t xml:space="preserve">PROJET: TEMARA AVENUE
ETAT DE POSE </t>
  </si>
  <si>
    <t>RECAP A1</t>
  </si>
  <si>
    <t>RECAP A2</t>
  </si>
  <si>
    <t>RECAP A3</t>
  </si>
  <si>
    <t>RECAP A4</t>
  </si>
  <si>
    <t>RECAP A5</t>
  </si>
  <si>
    <t>DECOMPOSITION
PRIX  %</t>
  </si>
  <si>
    <t>PRIX</t>
  </si>
  <si>
    <t>MONTANT</t>
  </si>
  <si>
    <t>TOTAL AVANCE</t>
  </si>
  <si>
    <t>TOTAL POSE</t>
  </si>
  <si>
    <t>RESTE</t>
  </si>
  <si>
    <t>POSEUR ELOUAFI</t>
  </si>
  <si>
    <t>Decoupe</t>
  </si>
  <si>
    <t>RF</t>
  </si>
  <si>
    <t xml:space="preserve">  Reste dû au poseur</t>
  </si>
  <si>
    <t>ARZANA</t>
  </si>
  <si>
    <t>Reste dû au poseur</t>
  </si>
  <si>
    <t>MOURAD</t>
  </si>
  <si>
    <t>POSEUR MOURAD</t>
  </si>
  <si>
    <t>DU 01/02/26 AU 16/02/26</t>
  </si>
  <si>
    <t>Decoupe evier</t>
  </si>
  <si>
    <t>Decoupe mitigeur</t>
  </si>
  <si>
    <t>Finition et masticage</t>
  </si>
  <si>
    <t>AHMED MARBRIER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</si>
</sst>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Arial"/>
      <family val="2"/>
    </font>
    <font>
      <b/>
      <u/>
      <sz val="16"/>
      <name val="Arial"/>
      <family val="2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9" fontId="12" fillId="0" borderId="0" applyFont="0" applyFill="0" applyBorder="0" applyAlignment="0" applyProtection="0"/>
  </cellStyleXfs>
  <cellXfs count="20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1" xfId="0" applyBorder="1"/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17" xfId="0" applyFont="1" applyBorder="1"/>
    <xf numFmtId="0" fontId="2" fillId="0" borderId="19" xfId="0" applyFont="1" applyBorder="1"/>
    <xf numFmtId="0" fontId="2" fillId="0" borderId="10" xfId="0" applyFont="1" applyBorder="1"/>
    <xf numFmtId="0" fontId="2" fillId="0" borderId="10" xfId="0" applyFont="1" applyFill="1" applyBorder="1"/>
    <xf numFmtId="0" fontId="2" fillId="0" borderId="8" xfId="0" applyFont="1" applyFill="1" applyBorder="1"/>
    <xf numFmtId="0" fontId="2" fillId="0" borderId="7" xfId="0" applyFont="1" applyFill="1" applyBorder="1"/>
    <xf numFmtId="0" fontId="2" fillId="0" borderId="21" xfId="0" applyFont="1" applyBorder="1"/>
    <xf numFmtId="0" fontId="0" fillId="0" borderId="0" xfId="0" applyBorder="1"/>
    <xf numFmtId="0" fontId="2" fillId="0" borderId="23" xfId="0" applyFont="1" applyBorder="1"/>
    <xf numFmtId="0" fontId="2" fillId="0" borderId="24" xfId="0" applyFont="1" applyBorder="1"/>
    <xf numFmtId="0" fontId="2" fillId="0" borderId="18" xfId="0" applyFont="1" applyBorder="1"/>
    <xf numFmtId="0" fontId="1" fillId="0" borderId="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0" xfId="2" applyAlignment="1">
      <alignment vertical="center"/>
    </xf>
    <xf numFmtId="0" fontId="2" fillId="0" borderId="22" xfId="0" applyFont="1" applyBorder="1"/>
    <xf numFmtId="0" fontId="2" fillId="0" borderId="6" xfId="0" applyFont="1" applyBorder="1"/>
    <xf numFmtId="0" fontId="2" fillId="0" borderId="29" xfId="0" applyFont="1" applyBorder="1"/>
    <xf numFmtId="0" fontId="7" fillId="0" borderId="0" xfId="1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3" fillId="4" borderId="35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42" xfId="0" applyFont="1" applyBorder="1"/>
    <xf numFmtId="0" fontId="3" fillId="4" borderId="23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8" fillId="0" borderId="0" xfId="2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Continuous" vertical="center"/>
    </xf>
    <xf numFmtId="0" fontId="7" fillId="0" borderId="0" xfId="1" applyFont="1" applyAlignment="1">
      <alignment horizontal="centerContinuous" vertical="center" wrapText="1"/>
    </xf>
    <xf numFmtId="0" fontId="8" fillId="0" borderId="0" xfId="2" applyAlignment="1">
      <alignment horizontal="centerContinuous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9" fontId="0" fillId="2" borderId="51" xfId="3" applyFont="1" applyFill="1" applyBorder="1" applyAlignment="1">
      <alignment horizontal="center"/>
    </xf>
    <xf numFmtId="9" fontId="0" fillId="2" borderId="52" xfId="3" applyFont="1" applyFill="1" applyBorder="1" applyAlignment="1">
      <alignment horizontal="center"/>
    </xf>
    <xf numFmtId="9" fontId="0" fillId="2" borderId="53" xfId="3" applyFont="1" applyFill="1" applyBorder="1" applyAlignment="1">
      <alignment horizontal="center" wrapText="1"/>
    </xf>
    <xf numFmtId="10" fontId="0" fillId="2" borderId="51" xfId="0" applyNumberFormat="1" applyFill="1" applyBorder="1" applyAlignment="1">
      <alignment horizontal="center" wrapText="1"/>
    </xf>
    <xf numFmtId="10" fontId="0" fillId="2" borderId="51" xfId="0" applyNumberFormat="1" applyFill="1" applyBorder="1" applyAlignment="1">
      <alignment horizontal="center"/>
    </xf>
    <xf numFmtId="10" fontId="0" fillId="2" borderId="0" xfId="0" applyNumberFormat="1" applyFill="1" applyBorder="1" applyAlignment="1">
      <alignment horizontal="center"/>
    </xf>
    <xf numFmtId="10" fontId="0" fillId="2" borderId="53" xfId="0" applyNumberFormat="1" applyFill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10" fontId="0" fillId="2" borderId="54" xfId="0" applyNumberFormat="1" applyFill="1" applyBorder="1" applyAlignment="1">
      <alignment horizontal="center"/>
    </xf>
    <xf numFmtId="10" fontId="0" fillId="2" borderId="49" xfId="0" applyNumberFormat="1" applyFill="1" applyBorder="1" applyAlignment="1">
      <alignment horizontal="center"/>
    </xf>
    <xf numFmtId="10" fontId="0" fillId="2" borderId="50" xfId="0" applyNumberFormat="1" applyFill="1" applyBorder="1" applyAlignment="1">
      <alignment horizontal="center"/>
    </xf>
    <xf numFmtId="10" fontId="0" fillId="2" borderId="28" xfId="0" applyNumberForma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3" fillId="0" borderId="5" xfId="0" applyFont="1" applyBorder="1"/>
    <xf numFmtId="10" fontId="0" fillId="2" borderId="55" xfId="0" applyNumberForma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28" xfId="0" applyFill="1" applyBorder="1" applyAlignment="1">
      <alignment horizontal="center" wrapText="1"/>
    </xf>
    <xf numFmtId="0" fontId="0" fillId="2" borderId="55" xfId="0" applyFill="1" applyBorder="1" applyAlignment="1">
      <alignment horizontal="center" wrapText="1"/>
    </xf>
    <xf numFmtId="0" fontId="0" fillId="2" borderId="58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2" fillId="0" borderId="59" xfId="0" applyFont="1" applyBorder="1"/>
    <xf numFmtId="0" fontId="2" fillId="0" borderId="31" xfId="0" applyFont="1" applyBorder="1"/>
    <xf numFmtId="0" fontId="2" fillId="0" borderId="60" xfId="0" applyFont="1" applyBorder="1"/>
    <xf numFmtId="0" fontId="3" fillId="4" borderId="37" xfId="0" applyFont="1" applyFill="1" applyBorder="1" applyAlignment="1">
      <alignment horizontal="center" vertical="center"/>
    </xf>
    <xf numFmtId="0" fontId="14" fillId="0" borderId="5" xfId="0" applyFont="1" applyBorder="1"/>
    <xf numFmtId="0" fontId="15" fillId="0" borderId="0" xfId="0" applyFont="1"/>
    <xf numFmtId="0" fontId="3" fillId="5" borderId="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9" borderId="33" xfId="0" applyFont="1" applyFill="1" applyBorder="1" applyAlignment="1">
      <alignment vertical="center" textRotation="90"/>
    </xf>
    <xf numFmtId="0" fontId="2" fillId="9" borderId="5" xfId="0" applyFont="1" applyFill="1" applyBorder="1" applyAlignment="1">
      <alignment vertical="center" textRotation="90"/>
    </xf>
    <xf numFmtId="0" fontId="2" fillId="9" borderId="2" xfId="0" applyFont="1" applyFill="1" applyBorder="1" applyAlignment="1">
      <alignment vertical="center" textRotation="90"/>
    </xf>
    <xf numFmtId="0" fontId="10" fillId="6" borderId="25" xfId="0" applyFont="1" applyFill="1" applyBorder="1" applyAlignment="1">
      <alignment horizontal="center" vertical="center" textRotation="90"/>
    </xf>
    <xf numFmtId="0" fontId="10" fillId="6" borderId="26" xfId="0" applyFont="1" applyFill="1" applyBorder="1" applyAlignment="1">
      <alignment horizontal="center" vertical="center" textRotation="90"/>
    </xf>
    <xf numFmtId="0" fontId="10" fillId="6" borderId="27" xfId="0" applyFont="1" applyFill="1" applyBorder="1" applyAlignment="1">
      <alignment horizontal="center" vertical="center" textRotation="90"/>
    </xf>
    <xf numFmtId="0" fontId="1" fillId="3" borderId="51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3" fillId="10" borderId="37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 vertical="center" wrapText="1"/>
    </xf>
    <xf numFmtId="0" fontId="3" fillId="10" borderId="39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textRotation="90"/>
    </xf>
    <xf numFmtId="0" fontId="10" fillId="4" borderId="26" xfId="0" applyFont="1" applyFill="1" applyBorder="1" applyAlignment="1">
      <alignment horizontal="center" vertical="center" textRotation="90"/>
    </xf>
    <xf numFmtId="0" fontId="10" fillId="4" borderId="27" xfId="0" applyFont="1" applyFill="1" applyBorder="1" applyAlignment="1">
      <alignment horizontal="center" vertical="center" textRotation="90"/>
    </xf>
    <xf numFmtId="0" fontId="1" fillId="3" borderId="53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textRotation="90"/>
    </xf>
    <xf numFmtId="0" fontId="10" fillId="11" borderId="26" xfId="0" applyFont="1" applyFill="1" applyBorder="1" applyAlignment="1">
      <alignment horizontal="center" vertical="center" textRotation="90"/>
    </xf>
    <xf numFmtId="0" fontId="10" fillId="11" borderId="27" xfId="0" applyFont="1" applyFill="1" applyBorder="1" applyAlignment="1">
      <alignment horizontal="center" vertical="center" textRotation="90"/>
    </xf>
    <xf numFmtId="0" fontId="7" fillId="0" borderId="0" xfId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3" fillId="10" borderId="43" xfId="0" applyFont="1" applyFill="1" applyBorder="1" applyAlignment="1">
      <alignment horizontal="center" vertical="center" wrapText="1"/>
    </xf>
    <xf numFmtId="0" fontId="3" fillId="10" borderId="44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 vertical="center" wrapText="1"/>
    </xf>
    <xf numFmtId="0" fontId="3" fillId="10" borderId="46" xfId="0" applyFont="1" applyFill="1" applyBorder="1" applyAlignment="1">
      <alignment horizontal="center" vertical="center" wrapText="1"/>
    </xf>
    <xf numFmtId="0" fontId="3" fillId="10" borderId="4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textRotation="90"/>
    </xf>
    <xf numFmtId="0" fontId="2" fillId="9" borderId="5" xfId="0" applyFont="1" applyFill="1" applyBorder="1" applyAlignment="1">
      <alignment horizontal="center" vertical="center" textRotation="90"/>
    </xf>
    <xf numFmtId="0" fontId="2" fillId="9" borderId="2" xfId="0" applyFont="1" applyFill="1" applyBorder="1" applyAlignment="1">
      <alignment horizontal="center" vertical="center" textRotation="90"/>
    </xf>
    <xf numFmtId="0" fontId="5" fillId="7" borderId="16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 textRotation="90"/>
    </xf>
    <xf numFmtId="0" fontId="2" fillId="9" borderId="24" xfId="0" applyFont="1" applyFill="1" applyBorder="1" applyAlignment="1">
      <alignment horizontal="center" vertical="center" textRotation="90"/>
    </xf>
    <xf numFmtId="0" fontId="2" fillId="9" borderId="31" xfId="0" applyFont="1" applyFill="1" applyBorder="1" applyAlignment="1">
      <alignment horizontal="center" vertical="center" textRotation="90"/>
    </xf>
    <xf numFmtId="0" fontId="5" fillId="8" borderId="16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textRotation="90"/>
    </xf>
    <xf numFmtId="0" fontId="10" fillId="5" borderId="26" xfId="0" applyFont="1" applyFill="1" applyBorder="1" applyAlignment="1">
      <alignment horizontal="center" vertical="center" textRotation="90"/>
    </xf>
    <xf numFmtId="0" fontId="10" fillId="5" borderId="27" xfId="0" applyFont="1" applyFill="1" applyBorder="1" applyAlignment="1">
      <alignment horizontal="center" vertical="center" textRotation="90"/>
    </xf>
    <xf numFmtId="0" fontId="1" fillId="3" borderId="49" xfId="0" applyFont="1" applyFill="1" applyBorder="1" applyAlignment="1">
      <alignment horizontal="center" vertical="center" wrapText="1"/>
    </xf>
    <xf numFmtId="0" fontId="1" fillId="3" borderId="55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2" fillId="12" borderId="10" xfId="0" applyFont="1" applyFill="1" applyBorder="1"/>
    <xf numFmtId="0" fontId="2" fillId="12" borderId="8" xfId="0" applyFont="1" applyFill="1" applyBorder="1"/>
    <xf numFmtId="0" fontId="2" fillId="12" borderId="7" xfId="0" applyFont="1" applyFill="1" applyBorder="1"/>
    <xf numFmtId="0" fontId="2" fillId="12" borderId="9" xfId="0" applyFont="1" applyFill="1" applyBorder="1"/>
    <xf numFmtId="0" fontId="2" fillId="12" borderId="6" xfId="0" applyFont="1" applyFill="1" applyBorder="1"/>
    <xf numFmtId="0" fontId="2" fillId="12" borderId="21" xfId="0" applyFont="1" applyFill="1" applyBorder="1"/>
    <xf numFmtId="0" fontId="2" fillId="12" borderId="2" xfId="0" applyFont="1" applyFill="1" applyBorder="1"/>
    <xf numFmtId="0" fontId="2" fillId="12" borderId="1" xfId="0" applyFont="1" applyFill="1" applyBorder="1"/>
    <xf numFmtId="0" fontId="1" fillId="0" borderId="0" xfId="0" applyFont="1" applyBorder="1" applyAlignment="1"/>
    <xf numFmtId="0" fontId="1" fillId="0" borderId="12" xfId="0" applyFont="1" applyBorder="1" applyAlignment="1"/>
  </cellXfs>
  <cellStyles count="4">
    <cellStyle name="Normal" xfId="0" builtinId="0"/>
    <cellStyle name="Normal 4" xfId="2" xr:uid="{420FC279-9D3E-4CE2-9801-8C4C6E419037}"/>
    <cellStyle name="Normal_decomp n°1" xfId="1" xr:uid="{9079BCEE-3B98-4416-8810-43BEBF0B7AE2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63A1-79CD-4553-8BB6-705B0756D9F5}">
  <sheetPr>
    <pageSetUpPr fitToPage="1"/>
  </sheetPr>
  <dimension ref="A1:AK47"/>
  <sheetViews>
    <sheetView view="pageBreakPreview" zoomScale="40" zoomScaleNormal="40" zoomScaleSheetLayoutView="40" workbookViewId="0">
      <selection activeCell="AR20" sqref="AR20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3" width="25.33203125" style="2" customWidth="1"/>
    <col min="4" max="35" width="9.77734375" customWidth="1"/>
    <col min="36" max="36" width="21.88671875" style="1" customWidth="1"/>
    <col min="37" max="37" width="3.33203125" customWidth="1"/>
  </cols>
  <sheetData>
    <row r="1" spans="1:37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79"/>
    </row>
    <row r="2" spans="1:37" s="30" customFormat="1" ht="30.6" customHeight="1" x14ac:dyDescent="0.3">
      <c r="A2" s="82" t="str">
        <f>RECAP!A2</f>
        <v>DU 01/02/26 AU 16/02/26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79"/>
    </row>
    <row r="3" spans="1:37" s="30" customFormat="1" x14ac:dyDescent="0.3">
      <c r="B3" s="149"/>
      <c r="C3" s="149"/>
      <c r="D3" s="149"/>
      <c r="E3" s="149"/>
    </row>
    <row r="4" spans="1:37" ht="21.6" thickBot="1" x14ac:dyDescent="0.45"/>
    <row r="5" spans="1:37" s="15" customFormat="1" ht="36" customHeight="1" thickBot="1" x14ac:dyDescent="0.5">
      <c r="B5" s="16"/>
      <c r="C5" s="2"/>
      <c r="D5" s="150" t="s">
        <v>5</v>
      </c>
      <c r="E5" s="151"/>
      <c r="F5" s="151"/>
      <c r="G5" s="151"/>
      <c r="H5" s="151"/>
      <c r="I5" s="151"/>
      <c r="J5" s="151"/>
      <c r="K5" s="151"/>
      <c r="L5" s="151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3" t="s">
        <v>26</v>
      </c>
    </row>
    <row r="6" spans="1:37" s="13" customFormat="1" ht="42.6" customHeight="1" thickBot="1" x14ac:dyDescent="0.35">
      <c r="B6" s="14"/>
      <c r="C6" s="2"/>
      <c r="D6" s="138" t="s">
        <v>66</v>
      </c>
      <c r="E6" s="139"/>
      <c r="F6" s="139"/>
      <c r="G6" s="140"/>
      <c r="H6" s="138" t="s">
        <v>67</v>
      </c>
      <c r="I6" s="139"/>
      <c r="J6" s="139"/>
      <c r="K6" s="140"/>
      <c r="L6" s="138" t="s">
        <v>68</v>
      </c>
      <c r="M6" s="139"/>
      <c r="N6" s="139"/>
      <c r="O6" s="140"/>
      <c r="P6" s="138" t="s">
        <v>69</v>
      </c>
      <c r="Q6" s="139"/>
      <c r="R6" s="139"/>
      <c r="S6" s="140"/>
      <c r="T6" s="138" t="s">
        <v>70</v>
      </c>
      <c r="U6" s="139"/>
      <c r="V6" s="139"/>
      <c r="W6" s="140"/>
      <c r="X6" s="138" t="s">
        <v>71</v>
      </c>
      <c r="Y6" s="139"/>
      <c r="Z6" s="139"/>
      <c r="AA6" s="140"/>
      <c r="AB6" s="138" t="s">
        <v>72</v>
      </c>
      <c r="AC6" s="139"/>
      <c r="AD6" s="139"/>
      <c r="AE6" s="139"/>
      <c r="AF6" s="139"/>
      <c r="AG6" s="139"/>
      <c r="AH6" s="139"/>
      <c r="AI6" s="140"/>
      <c r="AJ6" s="154"/>
    </row>
    <row r="7" spans="1:37" s="13" customFormat="1" ht="42.6" customHeight="1" thickBot="1" x14ac:dyDescent="0.35">
      <c r="B7" s="66" t="s">
        <v>89</v>
      </c>
      <c r="C7" s="66" t="s">
        <v>88</v>
      </c>
      <c r="D7" s="70" t="s">
        <v>27</v>
      </c>
      <c r="E7" s="71" t="s">
        <v>28</v>
      </c>
      <c r="F7" s="71" t="s">
        <v>29</v>
      </c>
      <c r="G7" s="71" t="s">
        <v>30</v>
      </c>
      <c r="H7" s="71" t="s">
        <v>31</v>
      </c>
      <c r="I7" s="71" t="s">
        <v>32</v>
      </c>
      <c r="J7" s="71" t="s">
        <v>33</v>
      </c>
      <c r="K7" s="71" t="s">
        <v>34</v>
      </c>
      <c r="L7" s="71" t="s">
        <v>35</v>
      </c>
      <c r="M7" s="71" t="s">
        <v>36</v>
      </c>
      <c r="N7" s="71" t="s">
        <v>37</v>
      </c>
      <c r="O7" s="71" t="s">
        <v>38</v>
      </c>
      <c r="P7" s="71" t="s">
        <v>39</v>
      </c>
      <c r="Q7" s="71" t="s">
        <v>40</v>
      </c>
      <c r="R7" s="71" t="s">
        <v>41</v>
      </c>
      <c r="S7" s="71" t="s">
        <v>42</v>
      </c>
      <c r="T7" s="71" t="s">
        <v>43</v>
      </c>
      <c r="U7" s="71" t="s">
        <v>44</v>
      </c>
      <c r="V7" s="71" t="s">
        <v>45</v>
      </c>
      <c r="W7" s="71" t="s">
        <v>46</v>
      </c>
      <c r="X7" s="71" t="s">
        <v>47</v>
      </c>
      <c r="Y7" s="71" t="s">
        <v>48</v>
      </c>
      <c r="Z7" s="71" t="s">
        <v>49</v>
      </c>
      <c r="AA7" s="71" t="s">
        <v>50</v>
      </c>
      <c r="AB7" s="72" t="s">
        <v>81</v>
      </c>
      <c r="AC7" s="72" t="s">
        <v>82</v>
      </c>
      <c r="AD7" s="72" t="s">
        <v>83</v>
      </c>
      <c r="AE7" s="72" t="s">
        <v>84</v>
      </c>
      <c r="AF7" s="72" t="s">
        <v>85</v>
      </c>
      <c r="AG7" s="72" t="s">
        <v>86</v>
      </c>
      <c r="AH7" s="72" t="s">
        <v>90</v>
      </c>
      <c r="AI7" s="73" t="s">
        <v>87</v>
      </c>
      <c r="AJ7" s="155"/>
    </row>
    <row r="8" spans="1:37" ht="21.75" customHeight="1" x14ac:dyDescent="0.4">
      <c r="A8" s="145" t="s">
        <v>73</v>
      </c>
      <c r="B8" s="135" t="s">
        <v>11</v>
      </c>
      <c r="C8" s="106" t="s">
        <v>7</v>
      </c>
      <c r="D8" s="74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6"/>
      <c r="AJ8" s="6">
        <f t="shared" ref="AJ8:AJ40" si="0">SUM(D8:AI8)</f>
        <v>0</v>
      </c>
    </row>
    <row r="9" spans="1:37" ht="21.75" customHeight="1" x14ac:dyDescent="0.4">
      <c r="A9" s="146"/>
      <c r="B9" s="135"/>
      <c r="C9" s="114" t="s">
        <v>8</v>
      </c>
      <c r="D9" s="3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7"/>
      <c r="AJ9" s="6">
        <f t="shared" si="0"/>
        <v>0</v>
      </c>
    </row>
    <row r="10" spans="1:37" ht="21.75" customHeight="1" x14ac:dyDescent="0.4">
      <c r="A10" s="146"/>
      <c r="B10" s="136"/>
      <c r="C10" s="114" t="s">
        <v>6</v>
      </c>
      <c r="D10" s="3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7"/>
      <c r="AJ10" s="6">
        <f t="shared" si="0"/>
        <v>0</v>
      </c>
    </row>
    <row r="11" spans="1:37" ht="30.6" thickBot="1" x14ac:dyDescent="0.45">
      <c r="A11" s="146"/>
      <c r="B11" s="144"/>
      <c r="C11" s="115" t="s">
        <v>9</v>
      </c>
      <c r="D11" s="2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4"/>
      <c r="AJ11" s="69">
        <f t="shared" si="0"/>
        <v>0</v>
      </c>
    </row>
    <row r="12" spans="1:37" ht="21.75" customHeight="1" x14ac:dyDescent="0.4">
      <c r="A12" s="146"/>
      <c r="B12" s="135" t="s">
        <v>12</v>
      </c>
      <c r="C12" s="107" t="s">
        <v>7</v>
      </c>
      <c r="D12" s="1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9"/>
      <c r="AJ12" s="28">
        <f t="shared" si="0"/>
        <v>0</v>
      </c>
    </row>
    <row r="13" spans="1:37" ht="21.75" customHeight="1" x14ac:dyDescent="0.4">
      <c r="A13" s="146"/>
      <c r="B13" s="135"/>
      <c r="C13" s="114" t="s">
        <v>8</v>
      </c>
      <c r="D13" s="1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32"/>
      <c r="AJ13" s="6">
        <f t="shared" si="0"/>
        <v>0</v>
      </c>
    </row>
    <row r="14" spans="1:37" ht="21.75" customHeight="1" x14ac:dyDescent="0.4">
      <c r="A14" s="146"/>
      <c r="B14" s="136"/>
      <c r="C14" s="114" t="s">
        <v>6</v>
      </c>
      <c r="D14" s="1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32"/>
      <c r="AJ14" s="6">
        <f t="shared" si="0"/>
        <v>0</v>
      </c>
    </row>
    <row r="15" spans="1:37" ht="30.6" thickBot="1" x14ac:dyDescent="0.45">
      <c r="A15" s="146"/>
      <c r="B15" s="144"/>
      <c r="C15" s="115" t="s">
        <v>10</v>
      </c>
      <c r="D15" s="2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"/>
      <c r="AJ15" s="69">
        <f t="shared" si="0"/>
        <v>0</v>
      </c>
    </row>
    <row r="16" spans="1:37" ht="21.75" customHeight="1" x14ac:dyDescent="0.4">
      <c r="A16" s="146"/>
      <c r="B16" s="135" t="s">
        <v>13</v>
      </c>
      <c r="C16" s="107" t="s">
        <v>7</v>
      </c>
      <c r="D16" s="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47">
        <v>2</v>
      </c>
      <c r="AC16" s="47">
        <v>1</v>
      </c>
      <c r="AD16" s="47">
        <v>1</v>
      </c>
      <c r="AE16" s="47">
        <v>1</v>
      </c>
      <c r="AF16" s="47">
        <v>1</v>
      </c>
      <c r="AG16" s="47">
        <v>2</v>
      </c>
      <c r="AH16" s="47"/>
      <c r="AI16" s="42">
        <v>1</v>
      </c>
      <c r="AJ16" s="28">
        <f t="shared" si="0"/>
        <v>9</v>
      </c>
    </row>
    <row r="17" spans="1:37" ht="21.75" customHeight="1" x14ac:dyDescent="0.4">
      <c r="A17" s="146"/>
      <c r="B17" s="135"/>
      <c r="C17" s="114" t="s">
        <v>8</v>
      </c>
      <c r="D17" s="1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59">
        <v>2</v>
      </c>
      <c r="AC17" s="59">
        <v>1</v>
      </c>
      <c r="AD17" s="59">
        <v>1</v>
      </c>
      <c r="AE17" s="59">
        <v>1</v>
      </c>
      <c r="AF17" s="59">
        <v>1</v>
      </c>
      <c r="AG17" s="59">
        <v>2</v>
      </c>
      <c r="AH17" s="59">
        <v>0</v>
      </c>
      <c r="AI17" s="42">
        <v>1</v>
      </c>
      <c r="AJ17" s="6">
        <f t="shared" si="0"/>
        <v>9</v>
      </c>
    </row>
    <row r="18" spans="1:37" ht="21.75" customHeight="1" x14ac:dyDescent="0.4">
      <c r="A18" s="146"/>
      <c r="B18" s="136"/>
      <c r="C18" s="114" t="s">
        <v>6</v>
      </c>
      <c r="D18" s="1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59">
        <v>2</v>
      </c>
      <c r="AC18" s="59">
        <v>1</v>
      </c>
      <c r="AD18" s="59">
        <v>1</v>
      </c>
      <c r="AE18" s="59">
        <v>1</v>
      </c>
      <c r="AF18" s="59">
        <v>1</v>
      </c>
      <c r="AG18" s="59">
        <v>2</v>
      </c>
      <c r="AH18" s="59">
        <v>0</v>
      </c>
      <c r="AI18" s="42">
        <v>1</v>
      </c>
      <c r="AJ18" s="6">
        <f t="shared" si="0"/>
        <v>9</v>
      </c>
    </row>
    <row r="19" spans="1:37" ht="30.6" thickBot="1" x14ac:dyDescent="0.45">
      <c r="A19" s="147"/>
      <c r="B19" s="144"/>
      <c r="C19" s="115" t="s">
        <v>14</v>
      </c>
      <c r="D19" s="2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68">
        <v>2</v>
      </c>
      <c r="AC19" s="68">
        <v>1</v>
      </c>
      <c r="AD19" s="68">
        <v>1</v>
      </c>
      <c r="AE19" s="68">
        <v>1</v>
      </c>
      <c r="AF19" s="68">
        <v>1</v>
      </c>
      <c r="AG19" s="68">
        <v>2</v>
      </c>
      <c r="AH19" s="68">
        <v>0</v>
      </c>
      <c r="AI19" s="39">
        <v>1</v>
      </c>
      <c r="AJ19" s="69">
        <f t="shared" si="0"/>
        <v>9</v>
      </c>
    </row>
    <row r="20" spans="1:37" ht="30" customHeight="1" x14ac:dyDescent="0.4">
      <c r="A20" s="141" t="s">
        <v>74</v>
      </c>
      <c r="B20" s="135" t="s">
        <v>61</v>
      </c>
      <c r="C20" s="116" t="s">
        <v>78</v>
      </c>
      <c r="D20" s="1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9"/>
      <c r="AJ20" s="28">
        <f t="shared" si="0"/>
        <v>0</v>
      </c>
      <c r="AK20" s="12"/>
    </row>
    <row r="21" spans="1:37" ht="21.75" customHeight="1" x14ac:dyDescent="0.4">
      <c r="A21" s="142"/>
      <c r="B21" s="135"/>
      <c r="C21" s="114" t="s">
        <v>77</v>
      </c>
      <c r="D21" s="1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9"/>
      <c r="AJ21" s="6">
        <f t="shared" si="0"/>
        <v>0</v>
      </c>
    </row>
    <row r="22" spans="1:37" ht="21.75" customHeight="1" x14ac:dyDescent="0.4">
      <c r="A22" s="142"/>
      <c r="B22" s="135"/>
      <c r="C22" s="114" t="s">
        <v>75</v>
      </c>
      <c r="D22" s="1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9"/>
      <c r="AJ22" s="6">
        <f t="shared" si="0"/>
        <v>0</v>
      </c>
    </row>
    <row r="23" spans="1:37" ht="21.75" customHeight="1" x14ac:dyDescent="0.4">
      <c r="A23" s="142"/>
      <c r="B23" s="136"/>
      <c r="C23" s="114" t="s">
        <v>76</v>
      </c>
      <c r="D23" s="1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9"/>
      <c r="AJ23" s="6">
        <f t="shared" si="0"/>
        <v>0</v>
      </c>
    </row>
    <row r="24" spans="1:37" ht="21.75" customHeight="1" x14ac:dyDescent="0.4">
      <c r="A24" s="142"/>
      <c r="B24" s="137"/>
      <c r="C24" s="117" t="s">
        <v>15</v>
      </c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7"/>
      <c r="AJ24" s="6">
        <f t="shared" si="0"/>
        <v>0</v>
      </c>
    </row>
    <row r="25" spans="1:37" ht="21.75" customHeight="1" thickBot="1" x14ac:dyDescent="0.45">
      <c r="A25" s="142"/>
      <c r="B25" s="144"/>
      <c r="C25" s="118" t="s">
        <v>17</v>
      </c>
      <c r="D25" s="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4"/>
      <c r="AJ25" s="69">
        <f t="shared" si="0"/>
        <v>0</v>
      </c>
    </row>
    <row r="26" spans="1:37" ht="21.75" customHeight="1" x14ac:dyDescent="0.4">
      <c r="A26" s="142"/>
      <c r="B26" s="135" t="s">
        <v>62</v>
      </c>
      <c r="C26" s="107" t="s">
        <v>16</v>
      </c>
      <c r="D26" s="1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9"/>
      <c r="AJ26" s="28">
        <f t="shared" si="0"/>
        <v>0</v>
      </c>
      <c r="AK26" s="12"/>
    </row>
    <row r="27" spans="1:37" ht="21.75" customHeight="1" x14ac:dyDescent="0.4">
      <c r="A27" s="142"/>
      <c r="B27" s="136"/>
      <c r="C27" s="114" t="s">
        <v>63</v>
      </c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9"/>
      <c r="AJ27" s="6">
        <f t="shared" si="0"/>
        <v>0</v>
      </c>
    </row>
    <row r="28" spans="1:37" ht="21.75" customHeight="1" x14ac:dyDescent="0.4">
      <c r="A28" s="142"/>
      <c r="B28" s="137"/>
      <c r="C28" s="117" t="s">
        <v>15</v>
      </c>
      <c r="D28" s="25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6">
        <f t="shared" si="0"/>
        <v>0</v>
      </c>
    </row>
    <row r="29" spans="1:37" ht="21.75" customHeight="1" thickBot="1" x14ac:dyDescent="0.45">
      <c r="A29" s="142"/>
      <c r="B29" s="144"/>
      <c r="C29" s="118" t="s">
        <v>17</v>
      </c>
      <c r="D29" s="2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4"/>
      <c r="AJ29" s="69">
        <f t="shared" si="0"/>
        <v>0</v>
      </c>
    </row>
    <row r="30" spans="1:37" ht="30" customHeight="1" x14ac:dyDescent="0.4">
      <c r="A30" s="142"/>
      <c r="B30" s="135" t="s">
        <v>60</v>
      </c>
      <c r="C30" s="107" t="s">
        <v>7</v>
      </c>
      <c r="D30" s="1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2</v>
      </c>
      <c r="AC30" s="10">
        <v>2</v>
      </c>
      <c r="AD30" s="10">
        <v>2</v>
      </c>
      <c r="AE30" s="10">
        <v>2</v>
      </c>
      <c r="AF30" s="10">
        <v>2</v>
      </c>
      <c r="AG30" s="10">
        <v>2</v>
      </c>
      <c r="AH30" s="10"/>
      <c r="AI30" s="9"/>
      <c r="AJ30" s="28">
        <f t="shared" si="0"/>
        <v>12</v>
      </c>
      <c r="AK30" s="12"/>
    </row>
    <row r="31" spans="1:37" ht="30" customHeight="1" thickBot="1" x14ac:dyDescent="0.45">
      <c r="A31" s="143"/>
      <c r="B31" s="144"/>
      <c r="C31" s="118" t="s">
        <v>64</v>
      </c>
      <c r="D31" s="2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4"/>
      <c r="AJ31" s="69">
        <f t="shared" si="0"/>
        <v>0</v>
      </c>
    </row>
    <row r="32" spans="1:37" ht="21.75" customHeight="1" x14ac:dyDescent="0.4">
      <c r="A32" s="132" t="s">
        <v>79</v>
      </c>
      <c r="B32" s="135" t="s">
        <v>2</v>
      </c>
      <c r="C32" s="106" t="s">
        <v>18</v>
      </c>
      <c r="D32" s="20">
        <v>274</v>
      </c>
      <c r="E32" s="21">
        <v>245</v>
      </c>
      <c r="F32" s="21">
        <v>290</v>
      </c>
      <c r="G32" s="21">
        <v>245</v>
      </c>
      <c r="H32" s="21">
        <v>274</v>
      </c>
      <c r="I32" s="21">
        <v>245</v>
      </c>
      <c r="J32" s="21">
        <v>290</v>
      </c>
      <c r="K32" s="21">
        <v>245</v>
      </c>
      <c r="L32" s="21">
        <v>274</v>
      </c>
      <c r="M32" s="21">
        <v>245</v>
      </c>
      <c r="N32" s="21">
        <v>290</v>
      </c>
      <c r="O32" s="21">
        <v>245</v>
      </c>
      <c r="P32" s="21">
        <v>274</v>
      </c>
      <c r="Q32" s="21">
        <v>245</v>
      </c>
      <c r="R32" s="21">
        <v>290</v>
      </c>
      <c r="S32" s="21">
        <v>245</v>
      </c>
      <c r="T32" s="21">
        <v>274</v>
      </c>
      <c r="U32" s="21">
        <v>245</v>
      </c>
      <c r="V32" s="21">
        <v>290</v>
      </c>
      <c r="W32" s="21">
        <v>245</v>
      </c>
      <c r="X32" s="21">
        <v>225</v>
      </c>
      <c r="Y32" s="21">
        <v>235</v>
      </c>
      <c r="Z32" s="21">
        <v>225</v>
      </c>
      <c r="AA32" s="21"/>
      <c r="AB32" s="21"/>
      <c r="AC32" s="21"/>
      <c r="AD32" s="21"/>
      <c r="AE32" s="21"/>
      <c r="AF32" s="21"/>
      <c r="AG32" s="21"/>
      <c r="AH32" s="21"/>
      <c r="AI32" s="22"/>
      <c r="AJ32" s="28">
        <f t="shared" si="0"/>
        <v>5955</v>
      </c>
    </row>
    <row r="33" spans="1:36" ht="21.75" customHeight="1" x14ac:dyDescent="0.4">
      <c r="A33" s="133"/>
      <c r="B33" s="136"/>
      <c r="C33" s="107" t="s">
        <v>19</v>
      </c>
      <c r="D33" s="19">
        <v>274</v>
      </c>
      <c r="E33" s="10">
        <v>245</v>
      </c>
      <c r="F33" s="10">
        <v>290</v>
      </c>
      <c r="G33" s="10">
        <v>245</v>
      </c>
      <c r="H33" s="10">
        <v>274</v>
      </c>
      <c r="I33" s="10">
        <v>245</v>
      </c>
      <c r="J33" s="10">
        <v>290</v>
      </c>
      <c r="K33" s="10">
        <v>245</v>
      </c>
      <c r="L33" s="10">
        <v>274</v>
      </c>
      <c r="M33" s="10">
        <v>245</v>
      </c>
      <c r="N33" s="10">
        <v>290</v>
      </c>
      <c r="O33" s="10">
        <v>245</v>
      </c>
      <c r="P33" s="10">
        <v>274</v>
      </c>
      <c r="Q33" s="10">
        <v>245</v>
      </c>
      <c r="R33" s="10">
        <v>290</v>
      </c>
      <c r="S33" s="10">
        <v>245</v>
      </c>
      <c r="T33" s="10">
        <v>274</v>
      </c>
      <c r="U33" s="10">
        <v>245</v>
      </c>
      <c r="V33" s="10">
        <v>290</v>
      </c>
      <c r="W33" s="10">
        <v>245</v>
      </c>
      <c r="X33" s="10">
        <v>225</v>
      </c>
      <c r="Y33" s="10">
        <v>235</v>
      </c>
      <c r="Z33" s="10">
        <v>225</v>
      </c>
      <c r="AA33" s="10"/>
      <c r="AB33" s="10"/>
      <c r="AC33" s="10"/>
      <c r="AD33" s="10"/>
      <c r="AE33" s="10"/>
      <c r="AF33" s="10"/>
      <c r="AG33" s="10"/>
      <c r="AH33" s="10"/>
      <c r="AI33" s="9"/>
      <c r="AJ33" s="6">
        <f t="shared" si="0"/>
        <v>5955</v>
      </c>
    </row>
    <row r="34" spans="1:36" ht="21.75" customHeight="1" x14ac:dyDescent="0.4">
      <c r="A34" s="133"/>
      <c r="B34" s="137"/>
      <c r="C34" s="107" t="s">
        <v>25</v>
      </c>
      <c r="D34" s="33">
        <v>548</v>
      </c>
      <c r="E34" s="17">
        <v>490</v>
      </c>
      <c r="F34" s="17">
        <v>580</v>
      </c>
      <c r="G34" s="17">
        <v>490</v>
      </c>
      <c r="H34" s="17">
        <v>548</v>
      </c>
      <c r="I34" s="17">
        <v>490</v>
      </c>
      <c r="J34" s="17">
        <v>580</v>
      </c>
      <c r="K34" s="17">
        <v>490</v>
      </c>
      <c r="L34" s="17">
        <v>548</v>
      </c>
      <c r="M34" s="17">
        <v>490</v>
      </c>
      <c r="N34" s="17">
        <v>580</v>
      </c>
      <c r="O34" s="17">
        <v>490</v>
      </c>
      <c r="P34" s="17">
        <v>548</v>
      </c>
      <c r="Q34" s="17">
        <v>490</v>
      </c>
      <c r="R34" s="17">
        <v>580</v>
      </c>
      <c r="S34" s="17">
        <v>490</v>
      </c>
      <c r="T34" s="17">
        <v>548</v>
      </c>
      <c r="U34" s="17">
        <v>490</v>
      </c>
      <c r="V34" s="17">
        <v>580</v>
      </c>
      <c r="W34" s="17">
        <v>490</v>
      </c>
      <c r="X34" s="17">
        <v>450</v>
      </c>
      <c r="Y34" s="17">
        <v>470</v>
      </c>
      <c r="Z34" s="17">
        <v>450</v>
      </c>
      <c r="AA34" s="17"/>
      <c r="AB34" s="17"/>
      <c r="AC34" s="17"/>
      <c r="AD34" s="17"/>
      <c r="AE34" s="17"/>
      <c r="AF34" s="17"/>
      <c r="AG34" s="17"/>
      <c r="AH34" s="17"/>
      <c r="AI34" s="18"/>
      <c r="AJ34" s="6">
        <f t="shared" si="0"/>
        <v>11910</v>
      </c>
    </row>
    <row r="35" spans="1:36" ht="21.75" customHeight="1" thickBot="1" x14ac:dyDescent="0.45">
      <c r="A35" s="134"/>
      <c r="B35" s="137"/>
      <c r="C35" s="108" t="s">
        <v>20</v>
      </c>
      <c r="D35" s="2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4"/>
      <c r="AJ35" s="29">
        <f t="shared" si="0"/>
        <v>0</v>
      </c>
    </row>
    <row r="36" spans="1:36" ht="21.75" customHeight="1" x14ac:dyDescent="0.4">
      <c r="A36" s="132" t="s">
        <v>80</v>
      </c>
      <c r="B36" s="137"/>
      <c r="C36" s="106" t="s">
        <v>21</v>
      </c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>
        <v>225</v>
      </c>
      <c r="AA36" s="26"/>
      <c r="AB36" s="26"/>
      <c r="AC36" s="26"/>
      <c r="AD36" s="26"/>
      <c r="AE36" s="26"/>
      <c r="AF36" s="26"/>
      <c r="AG36" s="26"/>
      <c r="AH36" s="26"/>
      <c r="AI36" s="27"/>
      <c r="AJ36" s="28">
        <f t="shared" si="0"/>
        <v>225</v>
      </c>
    </row>
    <row r="37" spans="1:36" ht="21.75" customHeight="1" x14ac:dyDescent="0.4">
      <c r="A37" s="133"/>
      <c r="B37" s="137"/>
      <c r="C37" s="107" t="s">
        <v>106</v>
      </c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>
        <v>1</v>
      </c>
      <c r="AA37" s="17"/>
      <c r="AB37" s="17"/>
      <c r="AC37" s="17"/>
      <c r="AD37" s="17"/>
      <c r="AE37" s="17"/>
      <c r="AF37" s="17"/>
      <c r="AG37" s="17"/>
      <c r="AH37" s="17"/>
      <c r="AI37" s="18"/>
      <c r="AJ37" s="6">
        <f t="shared" ref="AJ37" si="1">SUM(D37:AI37)</f>
        <v>1</v>
      </c>
    </row>
    <row r="38" spans="1:36" ht="21.75" customHeight="1" x14ac:dyDescent="0.4">
      <c r="A38" s="133"/>
      <c r="B38" s="137"/>
      <c r="C38" s="107" t="s">
        <v>22</v>
      </c>
      <c r="D38" s="3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>
        <v>1</v>
      </c>
      <c r="AA38" s="17"/>
      <c r="AB38" s="17"/>
      <c r="AC38" s="17"/>
      <c r="AD38" s="17"/>
      <c r="AE38" s="17"/>
      <c r="AF38" s="17"/>
      <c r="AG38" s="17"/>
      <c r="AH38" s="17"/>
      <c r="AI38" s="18"/>
      <c r="AJ38" s="6">
        <f t="shared" si="0"/>
        <v>1</v>
      </c>
    </row>
    <row r="39" spans="1:36" ht="21.75" customHeight="1" x14ac:dyDescent="0.4">
      <c r="A39" s="133"/>
      <c r="B39" s="137"/>
      <c r="C39" s="107" t="s">
        <v>23</v>
      </c>
      <c r="D39" s="3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>
        <v>1</v>
      </c>
      <c r="AA39" s="8"/>
      <c r="AB39" s="8"/>
      <c r="AC39" s="8"/>
      <c r="AD39" s="8"/>
      <c r="AE39" s="8"/>
      <c r="AF39" s="8"/>
      <c r="AG39" s="8"/>
      <c r="AH39" s="8"/>
      <c r="AI39" s="7"/>
      <c r="AJ39" s="6">
        <f t="shared" si="0"/>
        <v>1</v>
      </c>
    </row>
    <row r="40" spans="1:36" ht="21.75" customHeight="1" thickBot="1" x14ac:dyDescent="0.45">
      <c r="A40" s="134"/>
      <c r="B40" s="137"/>
      <c r="C40" s="108" t="s">
        <v>24</v>
      </c>
      <c r="D40" s="23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/>
      <c r="AB40" s="5"/>
      <c r="AC40" s="5"/>
      <c r="AD40" s="5"/>
      <c r="AE40" s="5"/>
      <c r="AF40" s="5"/>
      <c r="AG40" s="5"/>
      <c r="AH40" s="5"/>
      <c r="AI40" s="4"/>
      <c r="AJ40" s="6">
        <f t="shared" si="0"/>
        <v>23</v>
      </c>
    </row>
    <row r="45" spans="1:36" x14ac:dyDescent="0.4">
      <c r="I45" s="24"/>
      <c r="W45" s="24"/>
      <c r="AE45" s="24"/>
    </row>
    <row r="46" spans="1:36" x14ac:dyDescent="0.4">
      <c r="I46" s="24"/>
      <c r="W46" s="24"/>
      <c r="AE46" s="24"/>
    </row>
    <row r="47" spans="1:36" x14ac:dyDescent="0.4">
      <c r="I47" s="24"/>
      <c r="W47" s="24"/>
      <c r="AE47" s="24"/>
    </row>
  </sheetData>
  <mergeCells count="22">
    <mergeCell ref="A1:AJ1"/>
    <mergeCell ref="L6:O6"/>
    <mergeCell ref="P6:S6"/>
    <mergeCell ref="T6:W6"/>
    <mergeCell ref="X6:AA6"/>
    <mergeCell ref="AB6:AI6"/>
    <mergeCell ref="B3:E3"/>
    <mergeCell ref="D5:AI5"/>
    <mergeCell ref="AJ5:AJ7"/>
    <mergeCell ref="A32:A35"/>
    <mergeCell ref="B32:B40"/>
    <mergeCell ref="A36:A40"/>
    <mergeCell ref="D6:G6"/>
    <mergeCell ref="H6:K6"/>
    <mergeCell ref="A20:A31"/>
    <mergeCell ref="B20:B25"/>
    <mergeCell ref="B26:B29"/>
    <mergeCell ref="A8:A19"/>
    <mergeCell ref="B8:B11"/>
    <mergeCell ref="B12:B15"/>
    <mergeCell ref="B16:B19"/>
    <mergeCell ref="B30:B3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0638-EB35-4C3F-ADE2-146BF2B06DF2}">
  <sheetPr>
    <pageSetUpPr fitToPage="1"/>
  </sheetPr>
  <dimension ref="A1:AF47"/>
  <sheetViews>
    <sheetView view="pageBreakPreview" zoomScale="40" zoomScaleNormal="40" zoomScaleSheetLayoutView="40" workbookViewId="0">
      <selection activeCell="AL20" sqref="AL20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3" width="25.33203125" style="2" customWidth="1"/>
    <col min="4" max="31" width="10.77734375" customWidth="1"/>
    <col min="32" max="32" width="21.88671875" style="1" customWidth="1"/>
  </cols>
  <sheetData>
    <row r="1" spans="1:32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2" s="30" customFormat="1" ht="30.6" customHeight="1" x14ac:dyDescent="0.3">
      <c r="A2" s="82" t="str">
        <f>RECAP!A2</f>
        <v>DU 01/02/26 AU 16/02/26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</row>
    <row r="3" spans="1:32" s="30" customFormat="1" x14ac:dyDescent="0.3">
      <c r="B3" s="149"/>
      <c r="C3" s="149"/>
    </row>
    <row r="4" spans="1:32" ht="21.6" thickBot="1" x14ac:dyDescent="0.45"/>
    <row r="5" spans="1:32" s="15" customFormat="1" ht="36" customHeight="1" thickBot="1" x14ac:dyDescent="0.5">
      <c r="B5" s="16"/>
      <c r="C5" s="2"/>
      <c r="D5" s="161" t="s">
        <v>4</v>
      </c>
      <c r="E5" s="162"/>
      <c r="F5" s="162"/>
      <c r="G5" s="162"/>
      <c r="H5" s="162"/>
      <c r="I5" s="162"/>
      <c r="J5" s="162"/>
      <c r="K5" s="162"/>
      <c r="L5" s="162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53" t="s">
        <v>26</v>
      </c>
    </row>
    <row r="6" spans="1:32" s="13" customFormat="1" ht="42.6" customHeight="1" thickBot="1" x14ac:dyDescent="0.35">
      <c r="B6" s="14"/>
      <c r="C6" s="2"/>
      <c r="D6" s="160" t="s">
        <v>87</v>
      </c>
      <c r="E6" s="159"/>
      <c r="F6" s="156" t="s">
        <v>66</v>
      </c>
      <c r="G6" s="157"/>
      <c r="H6" s="159"/>
      <c r="I6" s="156" t="s">
        <v>67</v>
      </c>
      <c r="J6" s="157"/>
      <c r="K6" s="158"/>
      <c r="L6" s="156" t="s">
        <v>68</v>
      </c>
      <c r="M6" s="157"/>
      <c r="N6" s="158"/>
      <c r="O6" s="156" t="s">
        <v>69</v>
      </c>
      <c r="P6" s="157"/>
      <c r="Q6" s="158"/>
      <c r="R6" s="156" t="s">
        <v>70</v>
      </c>
      <c r="S6" s="157"/>
      <c r="T6" s="158"/>
      <c r="U6" s="156" t="s">
        <v>71</v>
      </c>
      <c r="V6" s="157"/>
      <c r="W6" s="158"/>
      <c r="X6" s="138" t="s">
        <v>72</v>
      </c>
      <c r="Y6" s="139"/>
      <c r="Z6" s="139"/>
      <c r="AA6" s="139"/>
      <c r="AB6" s="139"/>
      <c r="AC6" s="139"/>
      <c r="AD6" s="139"/>
      <c r="AE6" s="139"/>
      <c r="AF6" s="154"/>
    </row>
    <row r="7" spans="1:32" s="13" customFormat="1" ht="42.6" customHeight="1" thickBot="1" x14ac:dyDescent="0.35">
      <c r="B7" s="122" t="s">
        <v>89</v>
      </c>
      <c r="C7" s="66" t="s">
        <v>88</v>
      </c>
      <c r="D7" s="77" t="s">
        <v>27</v>
      </c>
      <c r="E7" s="71" t="s">
        <v>28</v>
      </c>
      <c r="F7" s="71" t="s">
        <v>29</v>
      </c>
      <c r="G7" s="71" t="s">
        <v>30</v>
      </c>
      <c r="H7" s="71" t="s">
        <v>31</v>
      </c>
      <c r="I7" s="71" t="s">
        <v>32</v>
      </c>
      <c r="J7" s="71" t="s">
        <v>33</v>
      </c>
      <c r="K7" s="71" t="s">
        <v>34</v>
      </c>
      <c r="L7" s="71" t="s">
        <v>35</v>
      </c>
      <c r="M7" s="71" t="s">
        <v>36</v>
      </c>
      <c r="N7" s="71" t="s">
        <v>37</v>
      </c>
      <c r="O7" s="71" t="s">
        <v>38</v>
      </c>
      <c r="P7" s="71" t="s">
        <v>39</v>
      </c>
      <c r="Q7" s="71" t="s">
        <v>40</v>
      </c>
      <c r="R7" s="71" t="s">
        <v>41</v>
      </c>
      <c r="S7" s="71" t="s">
        <v>42</v>
      </c>
      <c r="T7" s="71" t="s">
        <v>43</v>
      </c>
      <c r="U7" s="71" t="s">
        <v>44</v>
      </c>
      <c r="V7" s="71" t="s">
        <v>45</v>
      </c>
      <c r="W7" s="71" t="s">
        <v>46</v>
      </c>
      <c r="X7" s="72" t="s">
        <v>81</v>
      </c>
      <c r="Y7" s="72" t="s">
        <v>82</v>
      </c>
      <c r="Z7" s="72" t="s">
        <v>83</v>
      </c>
      <c r="AA7" s="72" t="s">
        <v>84</v>
      </c>
      <c r="AB7" s="72" t="s">
        <v>85</v>
      </c>
      <c r="AC7" s="72" t="s">
        <v>86</v>
      </c>
      <c r="AD7" s="72" t="s">
        <v>91</v>
      </c>
      <c r="AE7" s="78" t="s">
        <v>87</v>
      </c>
      <c r="AF7" s="155"/>
    </row>
    <row r="8" spans="1:32" ht="21.75" customHeight="1" x14ac:dyDescent="0.4">
      <c r="A8" s="145" t="s">
        <v>73</v>
      </c>
      <c r="B8" s="135" t="s">
        <v>11</v>
      </c>
      <c r="C8" s="107" t="s">
        <v>7</v>
      </c>
      <c r="D8" s="74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6"/>
      <c r="AF8" s="28">
        <f t="shared" ref="AF8:AF40" si="0">SUM(D8:AE8)</f>
        <v>0</v>
      </c>
    </row>
    <row r="9" spans="1:32" ht="21.75" customHeight="1" x14ac:dyDescent="0.4">
      <c r="A9" s="146"/>
      <c r="B9" s="135"/>
      <c r="C9" s="114" t="s">
        <v>8</v>
      </c>
      <c r="D9" s="3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7"/>
      <c r="AF9" s="6">
        <f t="shared" si="0"/>
        <v>0</v>
      </c>
    </row>
    <row r="10" spans="1:32" ht="21.75" customHeight="1" x14ac:dyDescent="0.4">
      <c r="A10" s="146"/>
      <c r="B10" s="136"/>
      <c r="C10" s="114" t="s">
        <v>6</v>
      </c>
      <c r="D10" s="3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7"/>
      <c r="AF10" s="6">
        <f t="shared" si="0"/>
        <v>0</v>
      </c>
    </row>
    <row r="11" spans="1:32" ht="30.6" thickBot="1" x14ac:dyDescent="0.45">
      <c r="A11" s="146"/>
      <c r="B11" s="144"/>
      <c r="C11" s="115" t="s">
        <v>9</v>
      </c>
      <c r="D11" s="2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4"/>
      <c r="AF11" s="69">
        <f t="shared" si="0"/>
        <v>0</v>
      </c>
    </row>
    <row r="12" spans="1:32" ht="21.75" customHeight="1" x14ac:dyDescent="0.4">
      <c r="A12" s="146"/>
      <c r="B12" s="135" t="s">
        <v>12</v>
      </c>
      <c r="C12" s="107" t="s">
        <v>7</v>
      </c>
      <c r="D12" s="19">
        <v>4</v>
      </c>
      <c r="E12" s="10">
        <v>4</v>
      </c>
      <c r="F12" s="10">
        <v>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/>
      <c r="AF12" s="28">
        <f t="shared" si="0"/>
        <v>11</v>
      </c>
    </row>
    <row r="13" spans="1:32" ht="21.75" customHeight="1" x14ac:dyDescent="0.4">
      <c r="A13" s="146"/>
      <c r="B13" s="135"/>
      <c r="C13" s="114" t="s">
        <v>8</v>
      </c>
      <c r="D13" s="1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32"/>
      <c r="AF13" s="6">
        <f t="shared" si="0"/>
        <v>0</v>
      </c>
    </row>
    <row r="14" spans="1:32" ht="21.75" customHeight="1" x14ac:dyDescent="0.4">
      <c r="A14" s="146"/>
      <c r="B14" s="136"/>
      <c r="C14" s="114" t="s">
        <v>6</v>
      </c>
      <c r="D14" s="1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32"/>
      <c r="AF14" s="6">
        <f t="shared" si="0"/>
        <v>0</v>
      </c>
    </row>
    <row r="15" spans="1:32" ht="30.6" thickBot="1" x14ac:dyDescent="0.45">
      <c r="A15" s="146"/>
      <c r="B15" s="144"/>
      <c r="C15" s="115" t="s">
        <v>10</v>
      </c>
      <c r="D15" s="2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4"/>
      <c r="AF15" s="69">
        <f t="shared" si="0"/>
        <v>0</v>
      </c>
    </row>
    <row r="16" spans="1:32" ht="21.75" customHeight="1" x14ac:dyDescent="0.4">
      <c r="A16" s="146"/>
      <c r="B16" s="135" t="s">
        <v>13</v>
      </c>
      <c r="C16" s="107" t="s">
        <v>7</v>
      </c>
      <c r="D16" s="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2</v>
      </c>
      <c r="Y16" s="10">
        <v>2</v>
      </c>
      <c r="Z16" s="10">
        <v>2</v>
      </c>
      <c r="AA16" s="10">
        <v>2</v>
      </c>
      <c r="AB16" s="10">
        <v>2</v>
      </c>
      <c r="AC16" s="10">
        <v>2</v>
      </c>
      <c r="AD16" s="10"/>
      <c r="AE16" s="9">
        <v>1</v>
      </c>
      <c r="AF16" s="28">
        <f t="shared" si="0"/>
        <v>13</v>
      </c>
    </row>
    <row r="17" spans="1:32" ht="21.75" customHeight="1" x14ac:dyDescent="0.4">
      <c r="A17" s="146"/>
      <c r="B17" s="135"/>
      <c r="C17" s="114" t="s">
        <v>8</v>
      </c>
      <c r="D17" s="1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2</v>
      </c>
      <c r="Y17" s="11">
        <v>2</v>
      </c>
      <c r="Z17" s="11">
        <v>2</v>
      </c>
      <c r="AA17" s="11">
        <v>2</v>
      </c>
      <c r="AB17" s="11">
        <v>2</v>
      </c>
      <c r="AC17" s="11">
        <v>2</v>
      </c>
      <c r="AD17" s="11"/>
      <c r="AE17" s="32">
        <v>1</v>
      </c>
      <c r="AF17" s="6">
        <f t="shared" si="0"/>
        <v>13</v>
      </c>
    </row>
    <row r="18" spans="1:32" ht="21.75" customHeight="1" x14ac:dyDescent="0.4">
      <c r="A18" s="146"/>
      <c r="B18" s="136"/>
      <c r="C18" s="114" t="s">
        <v>6</v>
      </c>
      <c r="D18" s="1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>
        <v>2</v>
      </c>
      <c r="Y18" s="11">
        <v>2</v>
      </c>
      <c r="Z18" s="11">
        <v>2</v>
      </c>
      <c r="AA18" s="11">
        <v>2</v>
      </c>
      <c r="AB18" s="11">
        <v>2</v>
      </c>
      <c r="AC18" s="11">
        <v>2</v>
      </c>
      <c r="AD18" s="11"/>
      <c r="AE18" s="32">
        <v>1</v>
      </c>
      <c r="AF18" s="6">
        <f t="shared" si="0"/>
        <v>13</v>
      </c>
    </row>
    <row r="19" spans="1:32" ht="30.6" thickBot="1" x14ac:dyDescent="0.45">
      <c r="A19" s="147"/>
      <c r="B19" s="144"/>
      <c r="C19" s="115" t="s">
        <v>14</v>
      </c>
      <c r="D19" s="2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2</v>
      </c>
      <c r="Y19" s="5">
        <v>2</v>
      </c>
      <c r="Z19" s="5">
        <v>2</v>
      </c>
      <c r="AA19" s="5">
        <v>2</v>
      </c>
      <c r="AB19" s="5">
        <v>2</v>
      </c>
      <c r="AC19" s="5">
        <v>2</v>
      </c>
      <c r="AD19" s="5"/>
      <c r="AE19" s="4">
        <v>1</v>
      </c>
      <c r="AF19" s="69">
        <f t="shared" si="0"/>
        <v>13</v>
      </c>
    </row>
    <row r="20" spans="1:32" ht="30" customHeight="1" x14ac:dyDescent="0.4">
      <c r="A20" s="141" t="s">
        <v>74</v>
      </c>
      <c r="B20" s="135" t="s">
        <v>61</v>
      </c>
      <c r="C20" s="116" t="s">
        <v>78</v>
      </c>
      <c r="D20" s="1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9"/>
      <c r="AF20" s="28">
        <f t="shared" si="0"/>
        <v>0</v>
      </c>
    </row>
    <row r="21" spans="1:32" ht="21.75" customHeight="1" x14ac:dyDescent="0.4">
      <c r="A21" s="142"/>
      <c r="B21" s="135"/>
      <c r="C21" s="114" t="s">
        <v>77</v>
      </c>
      <c r="D21" s="1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9"/>
      <c r="AF21" s="6">
        <f t="shared" si="0"/>
        <v>0</v>
      </c>
    </row>
    <row r="22" spans="1:32" ht="21.75" customHeight="1" x14ac:dyDescent="0.4">
      <c r="A22" s="142"/>
      <c r="B22" s="135"/>
      <c r="C22" s="114" t="s">
        <v>75</v>
      </c>
      <c r="D22" s="1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9"/>
      <c r="AF22" s="6">
        <f t="shared" si="0"/>
        <v>0</v>
      </c>
    </row>
    <row r="23" spans="1:32" ht="21.75" customHeight="1" x14ac:dyDescent="0.4">
      <c r="A23" s="142"/>
      <c r="B23" s="136"/>
      <c r="C23" s="114" t="s">
        <v>76</v>
      </c>
      <c r="D23" s="1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9"/>
      <c r="AF23" s="6">
        <f t="shared" si="0"/>
        <v>0</v>
      </c>
    </row>
    <row r="24" spans="1:32" ht="21.75" customHeight="1" x14ac:dyDescent="0.4">
      <c r="A24" s="142"/>
      <c r="B24" s="137"/>
      <c r="C24" s="117" t="s">
        <v>15</v>
      </c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7"/>
      <c r="AF24" s="6">
        <f t="shared" si="0"/>
        <v>0</v>
      </c>
    </row>
    <row r="25" spans="1:32" ht="21.75" customHeight="1" thickBot="1" x14ac:dyDescent="0.45">
      <c r="A25" s="142"/>
      <c r="B25" s="144"/>
      <c r="C25" s="118" t="s">
        <v>17</v>
      </c>
      <c r="D25" s="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4"/>
      <c r="AF25" s="69">
        <f t="shared" si="0"/>
        <v>0</v>
      </c>
    </row>
    <row r="26" spans="1:32" ht="21.75" customHeight="1" x14ac:dyDescent="0.4">
      <c r="A26" s="142"/>
      <c r="B26" s="135" t="s">
        <v>62</v>
      </c>
      <c r="C26" s="107" t="s">
        <v>16</v>
      </c>
      <c r="D26" s="1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/>
      <c r="AF26" s="28">
        <f t="shared" si="0"/>
        <v>0</v>
      </c>
    </row>
    <row r="27" spans="1:32" ht="21.75" customHeight="1" x14ac:dyDescent="0.4">
      <c r="A27" s="142"/>
      <c r="B27" s="136"/>
      <c r="C27" s="114" t="s">
        <v>63</v>
      </c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/>
      <c r="AF27" s="6">
        <f t="shared" si="0"/>
        <v>0</v>
      </c>
    </row>
    <row r="28" spans="1:32" ht="21.75" customHeight="1" x14ac:dyDescent="0.4">
      <c r="A28" s="142"/>
      <c r="B28" s="137"/>
      <c r="C28" s="117" t="s">
        <v>15</v>
      </c>
      <c r="D28" s="25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7"/>
      <c r="AF28" s="6">
        <f t="shared" si="0"/>
        <v>0</v>
      </c>
    </row>
    <row r="29" spans="1:32" ht="21.75" customHeight="1" thickBot="1" x14ac:dyDescent="0.45">
      <c r="A29" s="142"/>
      <c r="B29" s="144"/>
      <c r="C29" s="118" t="s">
        <v>17</v>
      </c>
      <c r="D29" s="2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4"/>
      <c r="AF29" s="69">
        <f t="shared" si="0"/>
        <v>0</v>
      </c>
    </row>
    <row r="30" spans="1:32" ht="30" customHeight="1" x14ac:dyDescent="0.4">
      <c r="A30" s="142"/>
      <c r="B30" s="135" t="s">
        <v>60</v>
      </c>
      <c r="C30" s="107" t="s">
        <v>7</v>
      </c>
      <c r="D30" s="1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>
        <v>2</v>
      </c>
      <c r="Y30" s="10">
        <v>2</v>
      </c>
      <c r="Z30" s="10">
        <v>2</v>
      </c>
      <c r="AA30" s="10">
        <v>2</v>
      </c>
      <c r="AB30" s="10">
        <v>2</v>
      </c>
      <c r="AC30" s="10">
        <v>2</v>
      </c>
      <c r="AD30" s="10"/>
      <c r="AE30" s="9"/>
      <c r="AF30" s="28">
        <f t="shared" si="0"/>
        <v>12</v>
      </c>
    </row>
    <row r="31" spans="1:32" ht="30" customHeight="1" thickBot="1" x14ac:dyDescent="0.45">
      <c r="A31" s="143"/>
      <c r="B31" s="144"/>
      <c r="C31" s="118" t="s">
        <v>64</v>
      </c>
      <c r="D31" s="2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4"/>
      <c r="AF31" s="69">
        <f t="shared" si="0"/>
        <v>0</v>
      </c>
    </row>
    <row r="32" spans="1:32" ht="21.75" customHeight="1" x14ac:dyDescent="0.4">
      <c r="A32" s="132" t="s">
        <v>79</v>
      </c>
      <c r="B32" s="135" t="s">
        <v>2</v>
      </c>
      <c r="C32" s="106" t="s">
        <v>18</v>
      </c>
      <c r="D32" s="20"/>
      <c r="E32" s="21"/>
      <c r="F32" s="21">
        <v>265</v>
      </c>
      <c r="G32" s="21">
        <v>244</v>
      </c>
      <c r="H32" s="21">
        <v>225</v>
      </c>
      <c r="I32" s="21">
        <v>264</v>
      </c>
      <c r="J32" s="21">
        <v>234</v>
      </c>
      <c r="K32" s="21">
        <v>225</v>
      </c>
      <c r="L32" s="21">
        <v>265</v>
      </c>
      <c r="M32" s="21">
        <v>234</v>
      </c>
      <c r="N32" s="21">
        <v>225</v>
      </c>
      <c r="O32" s="21">
        <v>264</v>
      </c>
      <c r="P32" s="21">
        <v>235</v>
      </c>
      <c r="Q32" s="21">
        <v>225</v>
      </c>
      <c r="R32" s="21">
        <v>266</v>
      </c>
      <c r="S32" s="21">
        <v>235</v>
      </c>
      <c r="T32" s="21">
        <v>225</v>
      </c>
      <c r="U32" s="21">
        <v>225</v>
      </c>
      <c r="V32" s="21">
        <v>226</v>
      </c>
      <c r="W32" s="21"/>
      <c r="X32" s="21"/>
      <c r="Y32" s="21"/>
      <c r="Z32" s="21"/>
      <c r="AA32" s="21"/>
      <c r="AB32" s="21"/>
      <c r="AC32" s="21"/>
      <c r="AD32" s="21"/>
      <c r="AE32" s="22"/>
      <c r="AF32" s="28">
        <f t="shared" si="0"/>
        <v>4082</v>
      </c>
    </row>
    <row r="33" spans="1:32" ht="21.75" customHeight="1" x14ac:dyDescent="0.4">
      <c r="A33" s="133"/>
      <c r="B33" s="136"/>
      <c r="C33" s="107" t="s">
        <v>19</v>
      </c>
      <c r="D33" s="19"/>
      <c r="E33" s="10"/>
      <c r="F33" s="10">
        <v>265</v>
      </c>
      <c r="G33" s="10">
        <v>244</v>
      </c>
      <c r="H33" s="10">
        <v>225</v>
      </c>
      <c r="I33" s="10">
        <v>264</v>
      </c>
      <c r="J33" s="10">
        <v>234</v>
      </c>
      <c r="K33" s="10">
        <v>225</v>
      </c>
      <c r="L33" s="10">
        <v>265</v>
      </c>
      <c r="M33" s="10">
        <v>234</v>
      </c>
      <c r="N33" s="10">
        <v>225</v>
      </c>
      <c r="O33" s="10">
        <v>264</v>
      </c>
      <c r="P33" s="10">
        <v>235</v>
      </c>
      <c r="Q33" s="10">
        <v>225</v>
      </c>
      <c r="R33" s="10">
        <v>266</v>
      </c>
      <c r="S33" s="10">
        <v>235</v>
      </c>
      <c r="T33" s="10">
        <v>225</v>
      </c>
      <c r="U33" s="10">
        <v>225</v>
      </c>
      <c r="V33" s="10">
        <v>226</v>
      </c>
      <c r="W33" s="10"/>
      <c r="X33" s="10"/>
      <c r="Y33" s="10"/>
      <c r="Z33" s="10"/>
      <c r="AA33" s="10"/>
      <c r="AB33" s="10"/>
      <c r="AC33" s="10"/>
      <c r="AD33" s="10"/>
      <c r="AE33" s="9"/>
      <c r="AF33" s="6">
        <f t="shared" si="0"/>
        <v>4082</v>
      </c>
    </row>
    <row r="34" spans="1:32" ht="21.75" customHeight="1" x14ac:dyDescent="0.4">
      <c r="A34" s="133"/>
      <c r="B34" s="137"/>
      <c r="C34" s="107" t="s">
        <v>25</v>
      </c>
      <c r="D34" s="33"/>
      <c r="E34" s="17"/>
      <c r="F34" s="17">
        <v>530</v>
      </c>
      <c r="G34" s="17">
        <v>488</v>
      </c>
      <c r="H34" s="17">
        <v>450</v>
      </c>
      <c r="I34" s="17">
        <v>528</v>
      </c>
      <c r="J34" s="17">
        <v>468</v>
      </c>
      <c r="K34" s="17">
        <v>450</v>
      </c>
      <c r="L34" s="17">
        <v>530</v>
      </c>
      <c r="M34" s="17">
        <v>468</v>
      </c>
      <c r="N34" s="17">
        <v>450</v>
      </c>
      <c r="O34" s="17">
        <v>528</v>
      </c>
      <c r="P34" s="17">
        <v>470</v>
      </c>
      <c r="Q34" s="17">
        <v>450</v>
      </c>
      <c r="R34" s="17">
        <v>532</v>
      </c>
      <c r="S34" s="17">
        <v>470</v>
      </c>
      <c r="T34" s="17">
        <v>450</v>
      </c>
      <c r="U34" s="17">
        <v>450</v>
      </c>
      <c r="V34" s="17">
        <v>452</v>
      </c>
      <c r="W34" s="17"/>
      <c r="X34" s="17"/>
      <c r="Y34" s="17"/>
      <c r="Z34" s="17"/>
      <c r="AA34" s="17"/>
      <c r="AB34" s="17"/>
      <c r="AC34" s="17"/>
      <c r="AD34" s="17"/>
      <c r="AE34" s="18"/>
      <c r="AF34" s="6">
        <f t="shared" si="0"/>
        <v>8164</v>
      </c>
    </row>
    <row r="35" spans="1:32" ht="21.75" customHeight="1" thickBot="1" x14ac:dyDescent="0.45">
      <c r="A35" s="134"/>
      <c r="B35" s="137"/>
      <c r="C35" s="108" t="s">
        <v>20</v>
      </c>
      <c r="D35" s="119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1"/>
      <c r="AF35" s="69">
        <f t="shared" si="0"/>
        <v>0</v>
      </c>
    </row>
    <row r="36" spans="1:32" ht="21.75" customHeight="1" x14ac:dyDescent="0.4">
      <c r="A36" s="132" t="s">
        <v>80</v>
      </c>
      <c r="B36" s="137"/>
      <c r="C36" s="106" t="s">
        <v>21</v>
      </c>
      <c r="D36" s="25"/>
      <c r="E36" s="26"/>
      <c r="F36" s="26">
        <v>265</v>
      </c>
      <c r="G36" s="26">
        <v>244</v>
      </c>
      <c r="H36" s="26">
        <v>225</v>
      </c>
      <c r="I36" s="26">
        <v>264</v>
      </c>
      <c r="J36" s="26">
        <v>234</v>
      </c>
      <c r="K36" s="26">
        <v>225</v>
      </c>
      <c r="L36" s="26">
        <v>265</v>
      </c>
      <c r="M36" s="26">
        <v>234</v>
      </c>
      <c r="N36" s="26">
        <v>225</v>
      </c>
      <c r="O36" s="26">
        <v>264</v>
      </c>
      <c r="P36" s="26">
        <v>235</v>
      </c>
      <c r="Q36" s="26">
        <v>225</v>
      </c>
      <c r="R36" s="26">
        <v>266</v>
      </c>
      <c r="S36" s="26">
        <v>235</v>
      </c>
      <c r="T36" s="26">
        <v>225</v>
      </c>
      <c r="U36" s="26">
        <v>225</v>
      </c>
      <c r="V36" s="26">
        <v>226</v>
      </c>
      <c r="W36" s="26"/>
      <c r="X36" s="26"/>
      <c r="Y36" s="26"/>
      <c r="Z36" s="26"/>
      <c r="AA36" s="26"/>
      <c r="AB36" s="26"/>
      <c r="AC36" s="26"/>
      <c r="AD36" s="26"/>
      <c r="AE36" s="27"/>
      <c r="AF36" s="28">
        <f t="shared" si="0"/>
        <v>4082</v>
      </c>
    </row>
    <row r="37" spans="1:32" ht="21.75" customHeight="1" x14ac:dyDescent="0.4">
      <c r="A37" s="133"/>
      <c r="B37" s="137"/>
      <c r="C37" s="107" t="s">
        <v>106</v>
      </c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6">
        <f t="shared" ref="AF37" si="1">SUM(D37:AE37)</f>
        <v>0</v>
      </c>
    </row>
    <row r="38" spans="1:32" ht="21.75" customHeight="1" x14ac:dyDescent="0.4">
      <c r="A38" s="133"/>
      <c r="B38" s="137"/>
      <c r="C38" s="107" t="s">
        <v>22</v>
      </c>
      <c r="D38" s="31"/>
      <c r="E38" s="8"/>
      <c r="F38" s="8"/>
      <c r="G38" s="8"/>
      <c r="H38" s="8">
        <v>1</v>
      </c>
      <c r="I38" s="8"/>
      <c r="J38" s="8"/>
      <c r="K38" s="8">
        <v>1</v>
      </c>
      <c r="L38" s="8"/>
      <c r="M38" s="8"/>
      <c r="N38" s="8">
        <v>1</v>
      </c>
      <c r="O38" s="8"/>
      <c r="P38" s="8"/>
      <c r="Q38" s="8">
        <v>1</v>
      </c>
      <c r="R38" s="8"/>
      <c r="S38" s="8"/>
      <c r="T38" s="8">
        <v>1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7"/>
      <c r="AF38" s="6">
        <f t="shared" si="0"/>
        <v>5</v>
      </c>
    </row>
    <row r="39" spans="1:32" ht="21.75" customHeight="1" x14ac:dyDescent="0.4">
      <c r="A39" s="133"/>
      <c r="B39" s="137"/>
      <c r="C39" s="107" t="s">
        <v>23</v>
      </c>
      <c r="D39" s="19"/>
      <c r="E39" s="10"/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/>
      <c r="X39" s="10"/>
      <c r="Y39" s="10"/>
      <c r="Z39" s="10"/>
      <c r="AA39" s="10"/>
      <c r="AB39" s="10"/>
      <c r="AC39" s="10"/>
      <c r="AD39" s="10"/>
      <c r="AE39" s="9"/>
      <c r="AF39" s="6">
        <f t="shared" si="0"/>
        <v>17</v>
      </c>
    </row>
    <row r="40" spans="1:32" ht="21.75" customHeight="1" thickBot="1" x14ac:dyDescent="0.45">
      <c r="A40" s="134"/>
      <c r="B40" s="137"/>
      <c r="C40" s="108" t="s">
        <v>24</v>
      </c>
      <c r="D40" s="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/>
      <c r="AF40" s="6">
        <f t="shared" si="0"/>
        <v>0</v>
      </c>
    </row>
    <row r="45" spans="1:32" x14ac:dyDescent="0.4">
      <c r="I45" s="24"/>
      <c r="W45" s="24"/>
      <c r="AA45" s="24"/>
    </row>
    <row r="46" spans="1:32" x14ac:dyDescent="0.4">
      <c r="I46" s="24"/>
      <c r="W46" s="24"/>
      <c r="AA46" s="24"/>
    </row>
    <row r="47" spans="1:32" x14ac:dyDescent="0.4">
      <c r="I47" s="24"/>
      <c r="W47" s="24"/>
      <c r="AA47" s="24"/>
    </row>
  </sheetData>
  <mergeCells count="23">
    <mergeCell ref="B12:B15"/>
    <mergeCell ref="B16:B19"/>
    <mergeCell ref="AF5:AF7"/>
    <mergeCell ref="A1:AF1"/>
    <mergeCell ref="D6:E6"/>
    <mergeCell ref="B3:C3"/>
    <mergeCell ref="D5:AE5"/>
    <mergeCell ref="A32:A35"/>
    <mergeCell ref="B32:B40"/>
    <mergeCell ref="A36:A40"/>
    <mergeCell ref="X6:AE6"/>
    <mergeCell ref="U6:W6"/>
    <mergeCell ref="R6:T6"/>
    <mergeCell ref="O6:Q6"/>
    <mergeCell ref="L6:N6"/>
    <mergeCell ref="I6:K6"/>
    <mergeCell ref="A20:A31"/>
    <mergeCell ref="B20:B25"/>
    <mergeCell ref="B26:B29"/>
    <mergeCell ref="B30:B31"/>
    <mergeCell ref="F6:H6"/>
    <mergeCell ref="A8:A19"/>
    <mergeCell ref="B8:B1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5236-6277-4639-9934-2F9DC061A4CC}">
  <sheetPr>
    <pageSetUpPr fitToPage="1"/>
  </sheetPr>
  <dimension ref="A1:AS47"/>
  <sheetViews>
    <sheetView view="pageBreakPreview" topLeftCell="A4" zoomScale="40" zoomScaleNormal="40" zoomScaleSheetLayoutView="40" workbookViewId="0">
      <selection activeCell="AS26" sqref="AS26:AS31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3" width="25.33203125" style="2" customWidth="1"/>
    <col min="4" max="44" width="9.77734375" customWidth="1"/>
    <col min="45" max="45" width="21.88671875" style="1" customWidth="1"/>
  </cols>
  <sheetData>
    <row r="1" spans="1:45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</row>
    <row r="2" spans="1:45" s="30" customFormat="1" ht="30.6" customHeight="1" x14ac:dyDescent="0.3">
      <c r="A2" s="82" t="str">
        <f>RECAP!A2</f>
        <v>DU 01/02/26 AU 16/02/26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3"/>
      <c r="AL2" s="83"/>
      <c r="AM2" s="84"/>
      <c r="AN2" s="84"/>
      <c r="AO2" s="84"/>
      <c r="AP2" s="84"/>
      <c r="AQ2" s="84"/>
      <c r="AR2" s="84"/>
      <c r="AS2" s="84"/>
    </row>
    <row r="3" spans="1:45" s="30" customFormat="1" x14ac:dyDescent="0.3">
      <c r="B3" s="149"/>
      <c r="C3" s="149"/>
    </row>
    <row r="4" spans="1:45" ht="21.6" thickBot="1" x14ac:dyDescent="0.45"/>
    <row r="5" spans="1:45" s="15" customFormat="1" ht="36" customHeight="1" thickBot="1" x14ac:dyDescent="0.5">
      <c r="B5" s="16"/>
      <c r="C5" s="2"/>
      <c r="D5" s="164" t="s">
        <v>3</v>
      </c>
      <c r="E5" s="165"/>
      <c r="F5" s="165"/>
      <c r="G5" s="165"/>
      <c r="H5" s="165"/>
      <c r="I5" s="165"/>
      <c r="J5" s="165"/>
      <c r="K5" s="165"/>
      <c r="L5" s="165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53" t="s">
        <v>26</v>
      </c>
    </row>
    <row r="6" spans="1:45" s="13" customFormat="1" ht="42.6" customHeight="1" thickBot="1" x14ac:dyDescent="0.35">
      <c r="B6" s="14"/>
      <c r="C6" s="2"/>
      <c r="D6" s="160" t="s">
        <v>87</v>
      </c>
      <c r="E6" s="157"/>
      <c r="F6" s="159"/>
      <c r="G6" s="156" t="s">
        <v>66</v>
      </c>
      <c r="H6" s="157"/>
      <c r="I6" s="157"/>
      <c r="J6" s="157"/>
      <c r="K6" s="159"/>
      <c r="L6" s="156" t="s">
        <v>67</v>
      </c>
      <c r="M6" s="157"/>
      <c r="N6" s="157"/>
      <c r="O6" s="157"/>
      <c r="P6" s="159"/>
      <c r="Q6" s="156" t="s">
        <v>68</v>
      </c>
      <c r="R6" s="157"/>
      <c r="S6" s="157"/>
      <c r="T6" s="157"/>
      <c r="U6" s="159"/>
      <c r="V6" s="156" t="s">
        <v>69</v>
      </c>
      <c r="W6" s="157"/>
      <c r="X6" s="157"/>
      <c r="Y6" s="157"/>
      <c r="Z6" s="159"/>
      <c r="AA6" s="156" t="s">
        <v>70</v>
      </c>
      <c r="AB6" s="157"/>
      <c r="AC6" s="157"/>
      <c r="AD6" s="157"/>
      <c r="AE6" s="159"/>
      <c r="AF6" s="156" t="s">
        <v>71</v>
      </c>
      <c r="AG6" s="157"/>
      <c r="AH6" s="157"/>
      <c r="AI6" s="157"/>
      <c r="AJ6" s="159"/>
      <c r="AK6" s="138" t="s">
        <v>72</v>
      </c>
      <c r="AL6" s="139"/>
      <c r="AM6" s="139"/>
      <c r="AN6" s="139"/>
      <c r="AO6" s="139"/>
      <c r="AP6" s="139"/>
      <c r="AQ6" s="139"/>
      <c r="AR6" s="140"/>
      <c r="AS6" s="154"/>
    </row>
    <row r="7" spans="1:45" s="13" customFormat="1" ht="42.6" customHeight="1" thickBot="1" x14ac:dyDescent="0.35">
      <c r="B7" s="122" t="s">
        <v>89</v>
      </c>
      <c r="C7" s="66" t="s">
        <v>88</v>
      </c>
      <c r="D7" s="77" t="s">
        <v>27</v>
      </c>
      <c r="E7" s="71" t="s">
        <v>28</v>
      </c>
      <c r="F7" s="71" t="s">
        <v>29</v>
      </c>
      <c r="G7" s="71" t="s">
        <v>30</v>
      </c>
      <c r="H7" s="71" t="s">
        <v>31</v>
      </c>
      <c r="I7" s="71" t="s">
        <v>32</v>
      </c>
      <c r="J7" s="71" t="s">
        <v>33</v>
      </c>
      <c r="K7" s="71" t="s">
        <v>34</v>
      </c>
      <c r="L7" s="71" t="s">
        <v>35</v>
      </c>
      <c r="M7" s="71" t="s">
        <v>36</v>
      </c>
      <c r="N7" s="71" t="s">
        <v>37</v>
      </c>
      <c r="O7" s="71" t="s">
        <v>38</v>
      </c>
      <c r="P7" s="71" t="s">
        <v>39</v>
      </c>
      <c r="Q7" s="71" t="s">
        <v>40</v>
      </c>
      <c r="R7" s="71" t="s">
        <v>41</v>
      </c>
      <c r="S7" s="71" t="s">
        <v>42</v>
      </c>
      <c r="T7" s="71" t="s">
        <v>43</v>
      </c>
      <c r="U7" s="71" t="s">
        <v>44</v>
      </c>
      <c r="V7" s="71" t="s">
        <v>45</v>
      </c>
      <c r="W7" s="71" t="s">
        <v>46</v>
      </c>
      <c r="X7" s="71" t="s">
        <v>47</v>
      </c>
      <c r="Y7" s="71" t="s">
        <v>48</v>
      </c>
      <c r="Z7" s="71" t="s">
        <v>49</v>
      </c>
      <c r="AA7" s="71" t="s">
        <v>50</v>
      </c>
      <c r="AB7" s="71" t="s">
        <v>51</v>
      </c>
      <c r="AC7" s="71" t="s">
        <v>52</v>
      </c>
      <c r="AD7" s="71" t="s">
        <v>53</v>
      </c>
      <c r="AE7" s="71" t="s">
        <v>54</v>
      </c>
      <c r="AF7" s="71" t="s">
        <v>55</v>
      </c>
      <c r="AG7" s="71" t="s">
        <v>56</v>
      </c>
      <c r="AH7" s="71" t="s">
        <v>57</v>
      </c>
      <c r="AI7" s="71" t="s">
        <v>58</v>
      </c>
      <c r="AJ7" s="71" t="s">
        <v>59</v>
      </c>
      <c r="AK7" s="72" t="s">
        <v>81</v>
      </c>
      <c r="AL7" s="72" t="s">
        <v>82</v>
      </c>
      <c r="AM7" s="72" t="s">
        <v>83</v>
      </c>
      <c r="AN7" s="72" t="s">
        <v>84</v>
      </c>
      <c r="AO7" s="72" t="s">
        <v>85</v>
      </c>
      <c r="AP7" s="72" t="s">
        <v>86</v>
      </c>
      <c r="AQ7" s="72" t="s">
        <v>90</v>
      </c>
      <c r="AR7" s="73" t="s">
        <v>87</v>
      </c>
      <c r="AS7" s="155"/>
    </row>
    <row r="8" spans="1:45" ht="21.75" customHeight="1" x14ac:dyDescent="0.4">
      <c r="A8" s="145" t="s">
        <v>73</v>
      </c>
      <c r="B8" s="135" t="s">
        <v>11</v>
      </c>
      <c r="C8" s="107" t="s">
        <v>7</v>
      </c>
      <c r="D8" s="74">
        <v>1</v>
      </c>
      <c r="E8" s="75"/>
      <c r="F8" s="75"/>
      <c r="G8" s="75">
        <v>1</v>
      </c>
      <c r="H8" s="75">
        <v>1</v>
      </c>
      <c r="I8" s="75">
        <v>1</v>
      </c>
      <c r="J8" s="75">
        <v>1</v>
      </c>
      <c r="K8" s="75">
        <v>1</v>
      </c>
      <c r="L8" s="75">
        <v>1</v>
      </c>
      <c r="M8" s="75">
        <v>1</v>
      </c>
      <c r="N8" s="75">
        <v>1</v>
      </c>
      <c r="O8" s="75">
        <v>1</v>
      </c>
      <c r="P8" s="75">
        <v>1</v>
      </c>
      <c r="Q8" s="75">
        <v>1</v>
      </c>
      <c r="R8" s="75">
        <v>1</v>
      </c>
      <c r="S8" s="75">
        <v>1</v>
      </c>
      <c r="T8" s="75">
        <v>1</v>
      </c>
      <c r="U8" s="75">
        <v>1</v>
      </c>
      <c r="V8" s="75">
        <v>1</v>
      </c>
      <c r="W8" s="75">
        <v>1</v>
      </c>
      <c r="X8" s="75">
        <v>1</v>
      </c>
      <c r="Y8" s="75">
        <v>1</v>
      </c>
      <c r="Z8" s="75">
        <v>1</v>
      </c>
      <c r="AA8" s="75">
        <v>1</v>
      </c>
      <c r="AB8" s="75">
        <v>1</v>
      </c>
      <c r="AC8" s="75">
        <v>1</v>
      </c>
      <c r="AD8" s="75">
        <v>1</v>
      </c>
      <c r="AE8" s="75">
        <v>1</v>
      </c>
      <c r="AF8" s="75">
        <v>1</v>
      </c>
      <c r="AG8" s="75">
        <v>1</v>
      </c>
      <c r="AH8" s="75">
        <v>1</v>
      </c>
      <c r="AI8" s="75">
        <v>1</v>
      </c>
      <c r="AJ8" s="75">
        <v>1</v>
      </c>
      <c r="AK8" s="75"/>
      <c r="AL8" s="75"/>
      <c r="AM8" s="75"/>
      <c r="AN8" s="75"/>
      <c r="AO8" s="75"/>
      <c r="AP8" s="75"/>
      <c r="AQ8" s="75"/>
      <c r="AR8" s="76"/>
      <c r="AS8" s="6">
        <f t="shared" ref="AS8:AS40" si="0">SUM(D8:AR8)</f>
        <v>31</v>
      </c>
    </row>
    <row r="9" spans="1:45" ht="21.75" customHeight="1" x14ac:dyDescent="0.4">
      <c r="A9" s="146"/>
      <c r="B9" s="135"/>
      <c r="C9" s="114" t="s">
        <v>8</v>
      </c>
      <c r="D9" s="31"/>
      <c r="E9" s="8"/>
      <c r="F9" s="8"/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/>
      <c r="AL9" s="8"/>
      <c r="AM9" s="8"/>
      <c r="AN9" s="8"/>
      <c r="AO9" s="8"/>
      <c r="AP9" s="8"/>
      <c r="AQ9" s="8"/>
      <c r="AR9" s="7"/>
      <c r="AS9" s="6">
        <f t="shared" si="0"/>
        <v>30</v>
      </c>
    </row>
    <row r="10" spans="1:45" ht="21.75" customHeight="1" x14ac:dyDescent="0.4">
      <c r="A10" s="146"/>
      <c r="B10" s="136"/>
      <c r="C10" s="114" t="s">
        <v>6</v>
      </c>
      <c r="D10" s="31"/>
      <c r="E10" s="8"/>
      <c r="F10" s="8"/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/>
      <c r="AL10" s="8"/>
      <c r="AM10" s="8"/>
      <c r="AN10" s="8"/>
      <c r="AO10" s="8"/>
      <c r="AP10" s="8"/>
      <c r="AQ10" s="8"/>
      <c r="AR10" s="7"/>
      <c r="AS10" s="6">
        <f t="shared" si="0"/>
        <v>30</v>
      </c>
    </row>
    <row r="11" spans="1:45" ht="30.6" thickBot="1" x14ac:dyDescent="0.45">
      <c r="A11" s="146"/>
      <c r="B11" s="144"/>
      <c r="C11" s="115" t="s">
        <v>9</v>
      </c>
      <c r="D11" s="2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4"/>
      <c r="AS11" s="69">
        <f t="shared" si="0"/>
        <v>0</v>
      </c>
    </row>
    <row r="12" spans="1:45" ht="21.75" customHeight="1" x14ac:dyDescent="0.4">
      <c r="A12" s="146"/>
      <c r="B12" s="135" t="s">
        <v>12</v>
      </c>
      <c r="C12" s="107" t="s">
        <v>7</v>
      </c>
      <c r="D12" s="19">
        <v>1</v>
      </c>
      <c r="E12" s="10">
        <v>5</v>
      </c>
      <c r="F12" s="10">
        <v>4</v>
      </c>
      <c r="G12" s="10">
        <v>8</v>
      </c>
      <c r="H12" s="10">
        <v>7</v>
      </c>
      <c r="I12" s="10">
        <v>4</v>
      </c>
      <c r="J12" s="10">
        <v>7</v>
      </c>
      <c r="K12" s="10">
        <v>5</v>
      </c>
      <c r="L12" s="10">
        <v>8</v>
      </c>
      <c r="M12" s="10">
        <v>7</v>
      </c>
      <c r="N12" s="10">
        <v>4</v>
      </c>
      <c r="O12" s="10">
        <v>7</v>
      </c>
      <c r="P12" s="10">
        <v>5</v>
      </c>
      <c r="Q12" s="10">
        <v>8</v>
      </c>
      <c r="R12" s="10">
        <v>7</v>
      </c>
      <c r="S12" s="10">
        <v>4</v>
      </c>
      <c r="T12" s="10">
        <v>7</v>
      </c>
      <c r="U12" s="10">
        <v>5</v>
      </c>
      <c r="V12" s="10">
        <v>8</v>
      </c>
      <c r="W12" s="10">
        <v>7</v>
      </c>
      <c r="X12" s="10">
        <v>4</v>
      </c>
      <c r="Y12" s="10">
        <v>7</v>
      </c>
      <c r="Z12" s="10">
        <v>5</v>
      </c>
      <c r="AA12" s="10">
        <v>8</v>
      </c>
      <c r="AB12" s="10">
        <v>7</v>
      </c>
      <c r="AC12" s="10">
        <v>4</v>
      </c>
      <c r="AD12" s="10">
        <v>7</v>
      </c>
      <c r="AE12" s="10">
        <v>5</v>
      </c>
      <c r="AF12" s="10">
        <v>7</v>
      </c>
      <c r="AG12" s="10">
        <v>7</v>
      </c>
      <c r="AH12" s="10">
        <v>4</v>
      </c>
      <c r="AI12" s="10">
        <v>7</v>
      </c>
      <c r="AJ12" s="10">
        <v>5</v>
      </c>
      <c r="AK12" s="10"/>
      <c r="AL12" s="10"/>
      <c r="AM12" s="10"/>
      <c r="AN12" s="10"/>
      <c r="AO12" s="10"/>
      <c r="AP12" s="10"/>
      <c r="AQ12" s="10"/>
      <c r="AR12" s="9"/>
      <c r="AS12" s="28">
        <f t="shared" si="0"/>
        <v>195</v>
      </c>
    </row>
    <row r="13" spans="1:45" ht="21.75" customHeight="1" x14ac:dyDescent="0.4">
      <c r="A13" s="146"/>
      <c r="B13" s="135"/>
      <c r="C13" s="114" t="s">
        <v>8</v>
      </c>
      <c r="D13" s="19"/>
      <c r="E13" s="11"/>
      <c r="F13" s="11"/>
      <c r="G13" s="11">
        <v>8</v>
      </c>
      <c r="H13" s="11">
        <v>7</v>
      </c>
      <c r="I13" s="11">
        <v>4</v>
      </c>
      <c r="J13" s="11">
        <v>7</v>
      </c>
      <c r="K13" s="11">
        <v>5</v>
      </c>
      <c r="L13" s="11">
        <v>8</v>
      </c>
      <c r="M13" s="11">
        <v>7</v>
      </c>
      <c r="N13" s="11">
        <v>4</v>
      </c>
      <c r="O13" s="11">
        <v>7</v>
      </c>
      <c r="P13" s="11">
        <v>5</v>
      </c>
      <c r="Q13" s="11">
        <v>8</v>
      </c>
      <c r="R13" s="11">
        <v>7</v>
      </c>
      <c r="S13" s="11">
        <v>4</v>
      </c>
      <c r="T13" s="11">
        <v>7</v>
      </c>
      <c r="U13" s="11">
        <v>5</v>
      </c>
      <c r="V13" s="11">
        <v>8</v>
      </c>
      <c r="W13" s="11">
        <v>7</v>
      </c>
      <c r="X13" s="11">
        <v>4</v>
      </c>
      <c r="Y13" s="11">
        <v>7</v>
      </c>
      <c r="Z13" s="11">
        <v>5</v>
      </c>
      <c r="AA13" s="11">
        <v>8</v>
      </c>
      <c r="AB13" s="11">
        <v>7</v>
      </c>
      <c r="AC13" s="11">
        <v>4</v>
      </c>
      <c r="AD13" s="11">
        <v>7</v>
      </c>
      <c r="AE13" s="11">
        <v>5</v>
      </c>
      <c r="AF13" s="11">
        <v>7</v>
      </c>
      <c r="AG13" s="11">
        <v>7</v>
      </c>
      <c r="AH13" s="11">
        <v>4</v>
      </c>
      <c r="AI13" s="11">
        <v>7</v>
      </c>
      <c r="AJ13" s="11">
        <v>5</v>
      </c>
      <c r="AK13" s="11"/>
      <c r="AL13" s="11"/>
      <c r="AM13" s="11"/>
      <c r="AN13" s="11"/>
      <c r="AO13" s="11"/>
      <c r="AP13" s="11"/>
      <c r="AQ13" s="11"/>
      <c r="AR13" s="32"/>
      <c r="AS13" s="6">
        <f t="shared" si="0"/>
        <v>185</v>
      </c>
    </row>
    <row r="14" spans="1:45" ht="21.75" customHeight="1" x14ac:dyDescent="0.4">
      <c r="A14" s="146"/>
      <c r="B14" s="136"/>
      <c r="C14" s="114" t="s">
        <v>6</v>
      </c>
      <c r="D14" s="19"/>
      <c r="E14" s="11"/>
      <c r="F14" s="11"/>
      <c r="G14" s="11">
        <v>8</v>
      </c>
      <c r="H14" s="11">
        <v>7</v>
      </c>
      <c r="I14" s="11">
        <v>4</v>
      </c>
      <c r="J14" s="11">
        <v>7</v>
      </c>
      <c r="K14" s="11">
        <v>5</v>
      </c>
      <c r="L14" s="11">
        <v>8</v>
      </c>
      <c r="M14" s="11">
        <v>7</v>
      </c>
      <c r="N14" s="11">
        <v>4</v>
      </c>
      <c r="O14" s="11">
        <v>7</v>
      </c>
      <c r="P14" s="11">
        <v>5</v>
      </c>
      <c r="Q14" s="11">
        <v>8</v>
      </c>
      <c r="R14" s="11">
        <v>7</v>
      </c>
      <c r="S14" s="11">
        <v>4</v>
      </c>
      <c r="T14" s="11">
        <v>7</v>
      </c>
      <c r="U14" s="11">
        <v>5</v>
      </c>
      <c r="V14" s="11">
        <v>8</v>
      </c>
      <c r="W14" s="11">
        <v>7</v>
      </c>
      <c r="X14" s="11">
        <v>4</v>
      </c>
      <c r="Y14" s="11">
        <v>7</v>
      </c>
      <c r="Z14" s="11">
        <v>5</v>
      </c>
      <c r="AA14" s="11">
        <v>8</v>
      </c>
      <c r="AB14" s="11">
        <v>7</v>
      </c>
      <c r="AC14" s="11">
        <v>4</v>
      </c>
      <c r="AD14" s="11">
        <v>7</v>
      </c>
      <c r="AE14" s="11">
        <v>5</v>
      </c>
      <c r="AF14" s="11">
        <v>7</v>
      </c>
      <c r="AG14" s="11">
        <v>7</v>
      </c>
      <c r="AH14" s="11">
        <v>4</v>
      </c>
      <c r="AI14" s="11">
        <v>7</v>
      </c>
      <c r="AJ14" s="11">
        <v>5</v>
      </c>
      <c r="AK14" s="11"/>
      <c r="AL14" s="11"/>
      <c r="AM14" s="11"/>
      <c r="AN14" s="11"/>
      <c r="AO14" s="11"/>
      <c r="AP14" s="11"/>
      <c r="AQ14" s="11"/>
      <c r="AR14" s="32"/>
      <c r="AS14" s="6">
        <f t="shared" si="0"/>
        <v>185</v>
      </c>
    </row>
    <row r="15" spans="1:45" ht="30.6" thickBot="1" x14ac:dyDescent="0.45">
      <c r="A15" s="146"/>
      <c r="B15" s="144"/>
      <c r="C15" s="115" t="s">
        <v>10</v>
      </c>
      <c r="D15" s="2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4"/>
      <c r="AS15" s="69">
        <f t="shared" si="0"/>
        <v>0</v>
      </c>
    </row>
    <row r="16" spans="1:45" ht="21.75" customHeight="1" x14ac:dyDescent="0.4">
      <c r="A16" s="146"/>
      <c r="B16" s="135" t="s">
        <v>13</v>
      </c>
      <c r="C16" s="107" t="s">
        <v>7</v>
      </c>
      <c r="D16" s="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v>2</v>
      </c>
      <c r="AL16" s="10">
        <v>2</v>
      </c>
      <c r="AM16" s="10">
        <v>2</v>
      </c>
      <c r="AN16" s="10">
        <v>2</v>
      </c>
      <c r="AO16" s="10">
        <v>2</v>
      </c>
      <c r="AP16" s="10">
        <v>1</v>
      </c>
      <c r="AQ16" s="10"/>
      <c r="AR16" s="9">
        <v>1</v>
      </c>
      <c r="AS16" s="28">
        <f t="shared" si="0"/>
        <v>12</v>
      </c>
    </row>
    <row r="17" spans="1:45" ht="21.75" customHeight="1" x14ac:dyDescent="0.4">
      <c r="A17" s="146"/>
      <c r="B17" s="135"/>
      <c r="C17" s="114" t="s">
        <v>8</v>
      </c>
      <c r="D17" s="1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32"/>
      <c r="AS17" s="6">
        <f t="shared" si="0"/>
        <v>0</v>
      </c>
    </row>
    <row r="18" spans="1:45" ht="21.75" customHeight="1" x14ac:dyDescent="0.4">
      <c r="A18" s="146"/>
      <c r="B18" s="136"/>
      <c r="C18" s="114" t="s">
        <v>6</v>
      </c>
      <c r="D18" s="1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>
        <v>2</v>
      </c>
      <c r="AL18" s="11">
        <v>2</v>
      </c>
      <c r="AM18" s="11">
        <v>2</v>
      </c>
      <c r="AN18" s="11">
        <v>2</v>
      </c>
      <c r="AO18" s="11">
        <v>2</v>
      </c>
      <c r="AP18" s="11">
        <v>1</v>
      </c>
      <c r="AQ18" s="11"/>
      <c r="AR18" s="32">
        <v>1</v>
      </c>
      <c r="AS18" s="6">
        <f t="shared" si="0"/>
        <v>12</v>
      </c>
    </row>
    <row r="19" spans="1:45" ht="30.6" thickBot="1" x14ac:dyDescent="0.45">
      <c r="A19" s="147"/>
      <c r="B19" s="144"/>
      <c r="C19" s="115" t="s">
        <v>14</v>
      </c>
      <c r="D19" s="2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2</v>
      </c>
      <c r="AL19" s="5">
        <v>2</v>
      </c>
      <c r="AM19" s="5">
        <v>2</v>
      </c>
      <c r="AN19" s="5">
        <v>2</v>
      </c>
      <c r="AO19" s="5">
        <v>2</v>
      </c>
      <c r="AP19" s="5">
        <v>1</v>
      </c>
      <c r="AQ19" s="5"/>
      <c r="AR19" s="4">
        <v>1</v>
      </c>
      <c r="AS19" s="69">
        <f t="shared" si="0"/>
        <v>12</v>
      </c>
    </row>
    <row r="20" spans="1:45" ht="30" customHeight="1" x14ac:dyDescent="0.4">
      <c r="A20" s="141" t="s">
        <v>74</v>
      </c>
      <c r="B20" s="135" t="s">
        <v>61</v>
      </c>
      <c r="C20" s="116" t="s">
        <v>78</v>
      </c>
      <c r="D20" s="19"/>
      <c r="E20" s="10"/>
      <c r="F20" s="10"/>
      <c r="G20" s="10">
        <v>9</v>
      </c>
      <c r="H20" s="10">
        <v>7</v>
      </c>
      <c r="I20" s="10">
        <v>5</v>
      </c>
      <c r="J20" s="10">
        <v>9</v>
      </c>
      <c r="K20" s="10">
        <v>6</v>
      </c>
      <c r="L20" s="10">
        <v>9</v>
      </c>
      <c r="M20" s="10">
        <v>7</v>
      </c>
      <c r="N20" s="10">
        <v>5</v>
      </c>
      <c r="O20" s="10">
        <v>9</v>
      </c>
      <c r="P20" s="10">
        <v>6</v>
      </c>
      <c r="Q20" s="10">
        <v>9</v>
      </c>
      <c r="R20" s="10">
        <v>7</v>
      </c>
      <c r="S20" s="10">
        <v>5</v>
      </c>
      <c r="T20" s="10">
        <v>9</v>
      </c>
      <c r="U20" s="10">
        <v>6</v>
      </c>
      <c r="V20" s="10">
        <v>9</v>
      </c>
      <c r="W20" s="10">
        <v>7</v>
      </c>
      <c r="X20" s="10">
        <v>5</v>
      </c>
      <c r="Y20" s="10">
        <v>9</v>
      </c>
      <c r="Z20" s="10">
        <v>6</v>
      </c>
      <c r="AA20" s="10">
        <v>9</v>
      </c>
      <c r="AB20" s="10">
        <v>7</v>
      </c>
      <c r="AC20" s="10">
        <v>5</v>
      </c>
      <c r="AD20" s="10">
        <v>9</v>
      </c>
      <c r="AE20" s="10">
        <v>6</v>
      </c>
      <c r="AF20" s="10">
        <v>9</v>
      </c>
      <c r="AG20" s="10">
        <v>7</v>
      </c>
      <c r="AH20" s="10">
        <v>5</v>
      </c>
      <c r="AI20" s="10">
        <v>9</v>
      </c>
      <c r="AJ20" s="10">
        <v>6</v>
      </c>
      <c r="AK20" s="10"/>
      <c r="AL20" s="10"/>
      <c r="AM20" s="10"/>
      <c r="AN20" s="10"/>
      <c r="AO20" s="10"/>
      <c r="AP20" s="10"/>
      <c r="AQ20" s="10"/>
      <c r="AR20" s="9"/>
      <c r="AS20" s="28">
        <f t="shared" si="0"/>
        <v>216</v>
      </c>
    </row>
    <row r="21" spans="1:45" ht="21.75" customHeight="1" x14ac:dyDescent="0.4">
      <c r="A21" s="142"/>
      <c r="B21" s="135"/>
      <c r="C21" s="114" t="s">
        <v>77</v>
      </c>
      <c r="D21" s="19"/>
      <c r="E21" s="10"/>
      <c r="F21" s="10"/>
      <c r="G21" s="10">
        <v>18</v>
      </c>
      <c r="H21" s="10">
        <v>20</v>
      </c>
      <c r="I21" s="10">
        <v>12</v>
      </c>
      <c r="J21" s="10">
        <v>18</v>
      </c>
      <c r="K21" s="10">
        <v>12</v>
      </c>
      <c r="L21" s="10">
        <v>18</v>
      </c>
      <c r="M21" s="10">
        <v>20</v>
      </c>
      <c r="N21" s="10">
        <v>12</v>
      </c>
      <c r="O21" s="10">
        <v>18</v>
      </c>
      <c r="P21" s="10">
        <v>12</v>
      </c>
      <c r="Q21" s="10">
        <v>18</v>
      </c>
      <c r="R21" s="10">
        <v>20</v>
      </c>
      <c r="S21" s="10">
        <v>12</v>
      </c>
      <c r="T21" s="10">
        <v>18</v>
      </c>
      <c r="U21" s="10">
        <v>12</v>
      </c>
      <c r="V21" s="10">
        <v>18</v>
      </c>
      <c r="W21" s="10">
        <v>20</v>
      </c>
      <c r="X21" s="10">
        <v>12</v>
      </c>
      <c r="Y21" s="10">
        <v>18</v>
      </c>
      <c r="Z21" s="10">
        <v>12</v>
      </c>
      <c r="AA21" s="10">
        <v>18</v>
      </c>
      <c r="AB21" s="10">
        <v>20</v>
      </c>
      <c r="AC21" s="10">
        <v>12</v>
      </c>
      <c r="AD21" s="10">
        <v>18</v>
      </c>
      <c r="AE21" s="10">
        <v>12</v>
      </c>
      <c r="AF21" s="10">
        <v>18</v>
      </c>
      <c r="AG21" s="10">
        <v>20</v>
      </c>
      <c r="AH21" s="10">
        <v>12</v>
      </c>
      <c r="AI21" s="10">
        <v>18</v>
      </c>
      <c r="AJ21" s="10">
        <v>12</v>
      </c>
      <c r="AK21" s="10"/>
      <c r="AL21" s="10"/>
      <c r="AM21" s="10"/>
      <c r="AN21" s="10"/>
      <c r="AO21" s="10"/>
      <c r="AP21" s="10"/>
      <c r="AQ21" s="10"/>
      <c r="AR21" s="9"/>
      <c r="AS21" s="6">
        <f t="shared" si="0"/>
        <v>480</v>
      </c>
    </row>
    <row r="22" spans="1:45" ht="21.75" customHeight="1" x14ac:dyDescent="0.4">
      <c r="A22" s="142"/>
      <c r="B22" s="135"/>
      <c r="C22" s="114" t="s">
        <v>75</v>
      </c>
      <c r="D22" s="19"/>
      <c r="E22" s="10"/>
      <c r="F22" s="10"/>
      <c r="G22" s="10">
        <v>9</v>
      </c>
      <c r="H22" s="10">
        <v>7</v>
      </c>
      <c r="I22" s="10">
        <v>5</v>
      </c>
      <c r="J22" s="10">
        <v>9</v>
      </c>
      <c r="K22" s="10">
        <v>6</v>
      </c>
      <c r="L22" s="10">
        <v>9</v>
      </c>
      <c r="M22" s="10">
        <v>7</v>
      </c>
      <c r="N22" s="10">
        <v>5</v>
      </c>
      <c r="O22" s="10">
        <v>9</v>
      </c>
      <c r="P22" s="10">
        <v>6</v>
      </c>
      <c r="Q22" s="10">
        <v>9</v>
      </c>
      <c r="R22" s="10">
        <v>7</v>
      </c>
      <c r="S22" s="10">
        <v>5</v>
      </c>
      <c r="T22" s="10">
        <v>9</v>
      </c>
      <c r="U22" s="10">
        <v>6</v>
      </c>
      <c r="V22" s="10">
        <v>9</v>
      </c>
      <c r="W22" s="10">
        <v>7</v>
      </c>
      <c r="X22" s="10">
        <v>5</v>
      </c>
      <c r="Y22" s="10">
        <v>9</v>
      </c>
      <c r="Z22" s="10">
        <v>6</v>
      </c>
      <c r="AA22" s="10">
        <v>9</v>
      </c>
      <c r="AB22" s="10">
        <v>7</v>
      </c>
      <c r="AC22" s="10">
        <v>5</v>
      </c>
      <c r="AD22" s="10">
        <v>9</v>
      </c>
      <c r="AE22" s="10">
        <v>6</v>
      </c>
      <c r="AF22" s="10">
        <v>9</v>
      </c>
      <c r="AG22" s="10">
        <v>7</v>
      </c>
      <c r="AH22" s="10">
        <v>5</v>
      </c>
      <c r="AI22" s="10">
        <v>9</v>
      </c>
      <c r="AJ22" s="10">
        <v>6</v>
      </c>
      <c r="AK22" s="10"/>
      <c r="AL22" s="10"/>
      <c r="AM22" s="10"/>
      <c r="AN22" s="10"/>
      <c r="AO22" s="10"/>
      <c r="AP22" s="10"/>
      <c r="AQ22" s="10"/>
      <c r="AR22" s="9"/>
      <c r="AS22" s="6">
        <f t="shared" si="0"/>
        <v>216</v>
      </c>
    </row>
    <row r="23" spans="1:45" ht="21.75" customHeight="1" x14ac:dyDescent="0.4">
      <c r="A23" s="142"/>
      <c r="B23" s="136"/>
      <c r="C23" s="114" t="s">
        <v>76</v>
      </c>
      <c r="D23" s="19"/>
      <c r="E23" s="10"/>
      <c r="F23" s="10"/>
      <c r="G23" s="10">
        <v>9</v>
      </c>
      <c r="H23" s="10">
        <v>7</v>
      </c>
      <c r="I23" s="10">
        <v>5</v>
      </c>
      <c r="J23" s="10">
        <v>9</v>
      </c>
      <c r="K23" s="10">
        <v>6</v>
      </c>
      <c r="L23" s="10">
        <v>9</v>
      </c>
      <c r="M23" s="10">
        <v>7</v>
      </c>
      <c r="N23" s="10">
        <v>5</v>
      </c>
      <c r="O23" s="10">
        <v>9</v>
      </c>
      <c r="P23" s="10">
        <v>6</v>
      </c>
      <c r="Q23" s="10">
        <v>9</v>
      </c>
      <c r="R23" s="10">
        <v>7</v>
      </c>
      <c r="S23" s="10">
        <v>5</v>
      </c>
      <c r="T23" s="10">
        <v>9</v>
      </c>
      <c r="U23" s="10">
        <v>6</v>
      </c>
      <c r="V23" s="10">
        <v>9</v>
      </c>
      <c r="W23" s="10">
        <v>7</v>
      </c>
      <c r="X23" s="10">
        <v>5</v>
      </c>
      <c r="Y23" s="10">
        <v>9</v>
      </c>
      <c r="Z23" s="10">
        <v>6</v>
      </c>
      <c r="AA23" s="10">
        <v>9</v>
      </c>
      <c r="AB23" s="10">
        <v>7</v>
      </c>
      <c r="AC23" s="10">
        <v>5</v>
      </c>
      <c r="AD23" s="10">
        <v>9</v>
      </c>
      <c r="AE23" s="10">
        <v>6</v>
      </c>
      <c r="AF23" s="10">
        <v>9</v>
      </c>
      <c r="AG23" s="10">
        <v>7</v>
      </c>
      <c r="AH23" s="10">
        <v>5</v>
      </c>
      <c r="AI23" s="10">
        <v>9</v>
      </c>
      <c r="AJ23" s="10">
        <v>6</v>
      </c>
      <c r="AK23" s="10"/>
      <c r="AL23" s="10"/>
      <c r="AM23" s="10"/>
      <c r="AN23" s="10"/>
      <c r="AO23" s="10"/>
      <c r="AP23" s="10"/>
      <c r="AQ23" s="10"/>
      <c r="AR23" s="9"/>
      <c r="AS23" s="6">
        <f t="shared" si="0"/>
        <v>216</v>
      </c>
    </row>
    <row r="24" spans="1:45" ht="21.75" customHeight="1" x14ac:dyDescent="0.4">
      <c r="A24" s="142"/>
      <c r="B24" s="137"/>
      <c r="C24" s="117" t="s">
        <v>15</v>
      </c>
      <c r="D24" s="25"/>
      <c r="E24" s="26"/>
      <c r="F24" s="26"/>
      <c r="G24" s="26">
        <v>3</v>
      </c>
      <c r="H24" s="26">
        <v>2</v>
      </c>
      <c r="I24" s="26">
        <v>2</v>
      </c>
      <c r="J24" s="26">
        <v>2</v>
      </c>
      <c r="K24" s="26">
        <v>2</v>
      </c>
      <c r="L24" s="26">
        <v>3</v>
      </c>
      <c r="M24" s="26">
        <v>2</v>
      </c>
      <c r="N24" s="26">
        <v>2</v>
      </c>
      <c r="O24" s="26">
        <v>2</v>
      </c>
      <c r="P24" s="26">
        <v>2</v>
      </c>
      <c r="Q24" s="26">
        <v>3</v>
      </c>
      <c r="R24" s="26">
        <v>2</v>
      </c>
      <c r="S24" s="26">
        <v>2</v>
      </c>
      <c r="T24" s="26">
        <v>2</v>
      </c>
      <c r="U24" s="26">
        <v>2</v>
      </c>
      <c r="V24" s="26">
        <v>3</v>
      </c>
      <c r="W24" s="26">
        <v>2</v>
      </c>
      <c r="X24" s="26">
        <v>2</v>
      </c>
      <c r="Y24" s="26">
        <v>2</v>
      </c>
      <c r="Z24" s="26">
        <v>2</v>
      </c>
      <c r="AA24" s="26">
        <v>3</v>
      </c>
      <c r="AB24" s="26">
        <v>2</v>
      </c>
      <c r="AC24" s="26">
        <v>2</v>
      </c>
      <c r="AD24" s="26">
        <v>2</v>
      </c>
      <c r="AE24" s="26">
        <v>2</v>
      </c>
      <c r="AF24" s="26">
        <v>3</v>
      </c>
      <c r="AG24" s="26">
        <v>2</v>
      </c>
      <c r="AH24" s="26">
        <v>2</v>
      </c>
      <c r="AI24" s="26">
        <v>2</v>
      </c>
      <c r="AJ24" s="26">
        <v>2</v>
      </c>
      <c r="AK24" s="26"/>
      <c r="AL24" s="26"/>
      <c r="AM24" s="26"/>
      <c r="AN24" s="26"/>
      <c r="AO24" s="26"/>
      <c r="AP24" s="26"/>
      <c r="AQ24" s="26"/>
      <c r="AR24" s="27"/>
      <c r="AS24" s="6">
        <f t="shared" si="0"/>
        <v>66</v>
      </c>
    </row>
    <row r="25" spans="1:45" ht="21.75" customHeight="1" thickBot="1" x14ac:dyDescent="0.45">
      <c r="A25" s="142"/>
      <c r="B25" s="144"/>
      <c r="C25" s="118" t="s">
        <v>17</v>
      </c>
      <c r="D25" s="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4"/>
      <c r="AS25" s="69">
        <f t="shared" si="0"/>
        <v>0</v>
      </c>
    </row>
    <row r="26" spans="1:45" ht="21.75" customHeight="1" x14ac:dyDescent="0.4">
      <c r="A26" s="142"/>
      <c r="B26" s="135" t="s">
        <v>62</v>
      </c>
      <c r="C26" s="107" t="s">
        <v>16</v>
      </c>
      <c r="D26" s="19"/>
      <c r="E26" s="10"/>
      <c r="F26" s="10"/>
      <c r="G26" s="10">
        <v>6</v>
      </c>
      <c r="H26" s="10">
        <v>2</v>
      </c>
      <c r="I26" s="10">
        <v>3</v>
      </c>
      <c r="J26" s="10">
        <v>3</v>
      </c>
      <c r="K26" s="10"/>
      <c r="L26" s="10">
        <v>6</v>
      </c>
      <c r="M26" s="10">
        <v>3</v>
      </c>
      <c r="N26" s="10">
        <v>3</v>
      </c>
      <c r="O26" s="10">
        <v>3</v>
      </c>
      <c r="P26" s="10"/>
      <c r="Q26" s="10">
        <v>6</v>
      </c>
      <c r="R26" s="10">
        <v>3</v>
      </c>
      <c r="S26" s="10">
        <v>3</v>
      </c>
      <c r="T26" s="10">
        <v>3</v>
      </c>
      <c r="U26" s="10"/>
      <c r="V26" s="10">
        <v>6</v>
      </c>
      <c r="W26" s="10">
        <v>3</v>
      </c>
      <c r="X26" s="10">
        <v>2</v>
      </c>
      <c r="Y26" s="10">
        <v>2</v>
      </c>
      <c r="Z26" s="10"/>
      <c r="AA26" s="10">
        <v>6</v>
      </c>
      <c r="AB26" s="10">
        <v>3</v>
      </c>
      <c r="AC26" s="10">
        <v>3</v>
      </c>
      <c r="AD26" s="10">
        <v>3</v>
      </c>
      <c r="AE26" s="10"/>
      <c r="AF26" s="10">
        <v>6</v>
      </c>
      <c r="AG26" s="10">
        <v>3</v>
      </c>
      <c r="AH26" s="10">
        <v>3</v>
      </c>
      <c r="AI26" s="10">
        <v>2</v>
      </c>
      <c r="AJ26" s="10"/>
      <c r="AK26" s="10"/>
      <c r="AL26" s="10"/>
      <c r="AM26" s="10"/>
      <c r="AN26" s="10"/>
      <c r="AO26" s="10"/>
      <c r="AP26" s="10"/>
      <c r="AQ26" s="10"/>
      <c r="AR26" s="9"/>
      <c r="AS26" s="28">
        <f t="shared" si="0"/>
        <v>86</v>
      </c>
    </row>
    <row r="27" spans="1:45" ht="21.75" customHeight="1" x14ac:dyDescent="0.4">
      <c r="A27" s="142"/>
      <c r="B27" s="136"/>
      <c r="C27" s="114" t="s">
        <v>63</v>
      </c>
      <c r="D27" s="19"/>
      <c r="E27" s="10"/>
      <c r="F27" s="10"/>
      <c r="G27" s="10">
        <v>6</v>
      </c>
      <c r="H27" s="10"/>
      <c r="I27" s="10">
        <v>3</v>
      </c>
      <c r="J27" s="10">
        <v>3</v>
      </c>
      <c r="K27" s="10"/>
      <c r="L27" s="10">
        <v>6</v>
      </c>
      <c r="M27" s="10">
        <v>3</v>
      </c>
      <c r="N27" s="10">
        <v>3</v>
      </c>
      <c r="O27" s="10">
        <v>3</v>
      </c>
      <c r="P27" s="10"/>
      <c r="Q27" s="10">
        <v>6</v>
      </c>
      <c r="R27" s="10">
        <v>3</v>
      </c>
      <c r="S27" s="10">
        <v>3</v>
      </c>
      <c r="T27" s="10">
        <v>3</v>
      </c>
      <c r="U27" s="10"/>
      <c r="V27" s="10">
        <v>6</v>
      </c>
      <c r="W27" s="10">
        <v>3</v>
      </c>
      <c r="X27" s="10"/>
      <c r="Y27" s="10"/>
      <c r="Z27" s="10"/>
      <c r="AA27" s="10">
        <v>6</v>
      </c>
      <c r="AB27" s="10">
        <v>3</v>
      </c>
      <c r="AC27" s="10">
        <v>3</v>
      </c>
      <c r="AD27" s="10">
        <v>3</v>
      </c>
      <c r="AE27" s="10"/>
      <c r="AF27" s="10">
        <v>6</v>
      </c>
      <c r="AG27" s="10">
        <v>3</v>
      </c>
      <c r="AH27" s="10">
        <v>3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9"/>
      <c r="AS27" s="6">
        <f t="shared" si="0"/>
        <v>78</v>
      </c>
    </row>
    <row r="28" spans="1:45" ht="21.75" customHeight="1" x14ac:dyDescent="0.4">
      <c r="A28" s="142"/>
      <c r="B28" s="137"/>
      <c r="C28" s="117" t="s">
        <v>15</v>
      </c>
      <c r="D28" s="25"/>
      <c r="E28" s="26"/>
      <c r="F28" s="26"/>
      <c r="G28" s="26">
        <v>3</v>
      </c>
      <c r="H28" s="26"/>
      <c r="I28" s="26">
        <v>1</v>
      </c>
      <c r="J28" s="26">
        <v>2</v>
      </c>
      <c r="K28" s="26"/>
      <c r="L28" s="26">
        <v>3</v>
      </c>
      <c r="M28" s="26">
        <v>1</v>
      </c>
      <c r="N28" s="26">
        <v>1</v>
      </c>
      <c r="O28" s="26">
        <v>2</v>
      </c>
      <c r="P28" s="26"/>
      <c r="Q28" s="26">
        <v>3</v>
      </c>
      <c r="R28" s="26">
        <v>1</v>
      </c>
      <c r="S28" s="26">
        <v>1</v>
      </c>
      <c r="T28" s="26">
        <v>2</v>
      </c>
      <c r="U28" s="26"/>
      <c r="V28" s="26">
        <v>3</v>
      </c>
      <c r="W28" s="26">
        <v>1</v>
      </c>
      <c r="X28" s="26"/>
      <c r="Y28" s="26"/>
      <c r="Z28" s="26"/>
      <c r="AA28" s="26">
        <v>3</v>
      </c>
      <c r="AB28" s="26">
        <v>1</v>
      </c>
      <c r="AC28" s="26">
        <v>1</v>
      </c>
      <c r="AD28" s="26">
        <v>2</v>
      </c>
      <c r="AE28" s="26"/>
      <c r="AF28" s="26">
        <v>3</v>
      </c>
      <c r="AG28" s="26">
        <v>1</v>
      </c>
      <c r="AH28" s="26">
        <v>1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7"/>
      <c r="AS28" s="6">
        <f t="shared" si="0"/>
        <v>36</v>
      </c>
    </row>
    <row r="29" spans="1:45" ht="21.75" customHeight="1" thickBot="1" x14ac:dyDescent="0.45">
      <c r="A29" s="142"/>
      <c r="B29" s="144"/>
      <c r="C29" s="118" t="s">
        <v>17</v>
      </c>
      <c r="D29" s="2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4"/>
      <c r="AS29" s="69">
        <f t="shared" si="0"/>
        <v>0</v>
      </c>
    </row>
    <row r="30" spans="1:45" ht="30" customHeight="1" x14ac:dyDescent="0.4">
      <c r="A30" s="142"/>
      <c r="B30" s="135" t="s">
        <v>60</v>
      </c>
      <c r="C30" s="107" t="s">
        <v>7</v>
      </c>
      <c r="D30" s="1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v>2</v>
      </c>
      <c r="AL30" s="10">
        <v>2</v>
      </c>
      <c r="AM30" s="10">
        <v>2</v>
      </c>
      <c r="AN30" s="10">
        <v>2</v>
      </c>
      <c r="AO30" s="10">
        <v>2</v>
      </c>
      <c r="AP30" s="10">
        <v>2</v>
      </c>
      <c r="AQ30" s="10"/>
      <c r="AR30" s="9"/>
      <c r="AS30" s="28">
        <f t="shared" si="0"/>
        <v>12</v>
      </c>
    </row>
    <row r="31" spans="1:45" ht="30" customHeight="1" thickBot="1" x14ac:dyDescent="0.45">
      <c r="A31" s="143"/>
      <c r="B31" s="144"/>
      <c r="C31" s="118" t="s">
        <v>64</v>
      </c>
      <c r="D31" s="2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4"/>
      <c r="AS31" s="69">
        <f t="shared" si="0"/>
        <v>0</v>
      </c>
    </row>
    <row r="32" spans="1:45" ht="21.75" customHeight="1" x14ac:dyDescent="0.4">
      <c r="A32" s="132" t="s">
        <v>79</v>
      </c>
      <c r="B32" s="135" t="s">
        <v>2</v>
      </c>
      <c r="C32" s="106" t="s">
        <v>18</v>
      </c>
      <c r="D32" s="20"/>
      <c r="E32" s="21"/>
      <c r="F32" s="21"/>
      <c r="G32" s="21">
        <v>410</v>
      </c>
      <c r="H32" s="21">
        <v>300</v>
      </c>
      <c r="I32" s="21">
        <v>508</v>
      </c>
      <c r="J32" s="21">
        <v>570</v>
      </c>
      <c r="K32" s="21">
        <v>440</v>
      </c>
      <c r="L32" s="21">
        <v>410</v>
      </c>
      <c r="M32" s="21">
        <v>300</v>
      </c>
      <c r="N32" s="21">
        <v>508</v>
      </c>
      <c r="O32" s="21">
        <v>570</v>
      </c>
      <c r="P32" s="21">
        <v>440</v>
      </c>
      <c r="Q32" s="21">
        <v>410</v>
      </c>
      <c r="R32" s="21">
        <v>300</v>
      </c>
      <c r="S32" s="21">
        <v>508</v>
      </c>
      <c r="T32" s="21">
        <v>570</v>
      </c>
      <c r="U32" s="21">
        <v>440</v>
      </c>
      <c r="V32" s="21">
        <v>410</v>
      </c>
      <c r="W32" s="21">
        <v>300</v>
      </c>
      <c r="X32" s="21">
        <v>508</v>
      </c>
      <c r="Y32" s="21">
        <v>570</v>
      </c>
      <c r="Z32" s="21">
        <v>440</v>
      </c>
      <c r="AA32" s="21">
        <v>410</v>
      </c>
      <c r="AB32" s="21">
        <v>300</v>
      </c>
      <c r="AC32" s="21">
        <v>508</v>
      </c>
      <c r="AD32" s="21">
        <v>570</v>
      </c>
      <c r="AE32" s="21">
        <v>440</v>
      </c>
      <c r="AF32" s="21">
        <v>410</v>
      </c>
      <c r="AG32" s="21">
        <v>300</v>
      </c>
      <c r="AH32" s="21">
        <v>508</v>
      </c>
      <c r="AI32" s="21">
        <v>570</v>
      </c>
      <c r="AJ32" s="21">
        <v>440</v>
      </c>
      <c r="AK32" s="21"/>
      <c r="AL32" s="21"/>
      <c r="AM32" s="21"/>
      <c r="AN32" s="21"/>
      <c r="AO32" s="21"/>
      <c r="AP32" s="21"/>
      <c r="AQ32" s="21"/>
      <c r="AR32" s="22"/>
      <c r="AS32" s="28">
        <f t="shared" si="0"/>
        <v>13368</v>
      </c>
    </row>
    <row r="33" spans="1:45" ht="21.75" customHeight="1" x14ac:dyDescent="0.4">
      <c r="A33" s="133"/>
      <c r="B33" s="136"/>
      <c r="C33" s="107" t="s">
        <v>19</v>
      </c>
      <c r="D33" s="19"/>
      <c r="E33" s="10"/>
      <c r="F33" s="10"/>
      <c r="G33" s="10">
        <v>410</v>
      </c>
      <c r="H33" s="10">
        <v>300</v>
      </c>
      <c r="I33" s="10">
        <v>348</v>
      </c>
      <c r="J33" s="10">
        <v>570</v>
      </c>
      <c r="K33" s="10">
        <v>440</v>
      </c>
      <c r="L33" s="10">
        <v>410</v>
      </c>
      <c r="M33" s="10">
        <v>300</v>
      </c>
      <c r="N33" s="10">
        <v>348</v>
      </c>
      <c r="O33" s="10">
        <v>570</v>
      </c>
      <c r="P33" s="10">
        <v>440</v>
      </c>
      <c r="Q33" s="10">
        <v>410</v>
      </c>
      <c r="R33" s="10">
        <v>300</v>
      </c>
      <c r="S33" s="10">
        <v>348</v>
      </c>
      <c r="T33" s="10">
        <v>570</v>
      </c>
      <c r="U33" s="10">
        <v>440</v>
      </c>
      <c r="V33" s="10">
        <v>410</v>
      </c>
      <c r="W33" s="10">
        <v>300</v>
      </c>
      <c r="X33" s="10">
        <v>348</v>
      </c>
      <c r="Y33" s="10">
        <v>570</v>
      </c>
      <c r="Z33" s="10">
        <v>440</v>
      </c>
      <c r="AA33" s="10">
        <v>410</v>
      </c>
      <c r="AB33" s="10">
        <v>300</v>
      </c>
      <c r="AC33" s="10">
        <v>348</v>
      </c>
      <c r="AD33" s="10">
        <v>570</v>
      </c>
      <c r="AE33" s="10">
        <v>440</v>
      </c>
      <c r="AF33" s="10">
        <v>410</v>
      </c>
      <c r="AG33" s="10">
        <v>300</v>
      </c>
      <c r="AH33" s="10">
        <v>348</v>
      </c>
      <c r="AI33" s="10">
        <v>570</v>
      </c>
      <c r="AJ33" s="10">
        <v>440</v>
      </c>
      <c r="AK33" s="10"/>
      <c r="AL33" s="10"/>
      <c r="AM33" s="10"/>
      <c r="AN33" s="10"/>
      <c r="AO33" s="10"/>
      <c r="AP33" s="10"/>
      <c r="AQ33" s="10"/>
      <c r="AR33" s="9"/>
      <c r="AS33" s="6">
        <f t="shared" si="0"/>
        <v>12408</v>
      </c>
    </row>
    <row r="34" spans="1:45" ht="21.75" customHeight="1" x14ac:dyDescent="0.4">
      <c r="A34" s="133"/>
      <c r="B34" s="137"/>
      <c r="C34" s="107" t="s">
        <v>25</v>
      </c>
      <c r="D34" s="33"/>
      <c r="E34" s="17"/>
      <c r="F34" s="17"/>
      <c r="G34" s="17">
        <v>820</v>
      </c>
      <c r="H34" s="17">
        <v>600</v>
      </c>
      <c r="I34" s="17">
        <v>856</v>
      </c>
      <c r="J34" s="17">
        <v>1140</v>
      </c>
      <c r="K34" s="17">
        <v>880</v>
      </c>
      <c r="L34" s="17">
        <v>820</v>
      </c>
      <c r="M34" s="17">
        <v>600</v>
      </c>
      <c r="N34" s="17">
        <v>856</v>
      </c>
      <c r="O34" s="17">
        <v>1140</v>
      </c>
      <c r="P34" s="17">
        <v>880</v>
      </c>
      <c r="Q34" s="17">
        <v>820</v>
      </c>
      <c r="R34" s="17">
        <v>600</v>
      </c>
      <c r="S34" s="17">
        <v>856</v>
      </c>
      <c r="T34" s="17">
        <v>1140</v>
      </c>
      <c r="U34" s="17">
        <v>880</v>
      </c>
      <c r="V34" s="17">
        <v>820</v>
      </c>
      <c r="W34" s="17">
        <v>600</v>
      </c>
      <c r="X34" s="17">
        <v>856</v>
      </c>
      <c r="Y34" s="17">
        <v>1140</v>
      </c>
      <c r="Z34" s="17">
        <v>880</v>
      </c>
      <c r="AA34" s="17">
        <v>820</v>
      </c>
      <c r="AB34" s="17">
        <v>600</v>
      </c>
      <c r="AC34" s="17">
        <v>856</v>
      </c>
      <c r="AD34" s="17">
        <v>1140</v>
      </c>
      <c r="AE34" s="17">
        <v>880</v>
      </c>
      <c r="AF34" s="17">
        <v>820</v>
      </c>
      <c r="AG34" s="17">
        <v>600</v>
      </c>
      <c r="AH34" s="17">
        <v>856</v>
      </c>
      <c r="AI34" s="17">
        <v>1140</v>
      </c>
      <c r="AJ34" s="17">
        <v>880</v>
      </c>
      <c r="AK34" s="17"/>
      <c r="AL34" s="17"/>
      <c r="AM34" s="17"/>
      <c r="AN34" s="17"/>
      <c r="AO34" s="17"/>
      <c r="AP34" s="17"/>
      <c r="AQ34" s="17"/>
      <c r="AR34" s="18"/>
      <c r="AS34" s="109">
        <f t="shared" si="0"/>
        <v>25776</v>
      </c>
    </row>
    <row r="35" spans="1:45" ht="21.75" customHeight="1" thickBot="1" x14ac:dyDescent="0.45">
      <c r="A35" s="134"/>
      <c r="B35" s="137"/>
      <c r="C35" s="108" t="s">
        <v>20</v>
      </c>
      <c r="D35" s="2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4"/>
      <c r="AS35" s="69">
        <f t="shared" si="0"/>
        <v>0</v>
      </c>
    </row>
    <row r="36" spans="1:45" ht="21.75" customHeight="1" x14ac:dyDescent="0.4">
      <c r="A36" s="132" t="s">
        <v>80</v>
      </c>
      <c r="B36" s="137"/>
      <c r="C36" s="106" t="s">
        <v>21</v>
      </c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7"/>
      <c r="AS36" s="28">
        <f t="shared" si="0"/>
        <v>0</v>
      </c>
    </row>
    <row r="37" spans="1:45" ht="21.75" customHeight="1" x14ac:dyDescent="0.4">
      <c r="A37" s="133"/>
      <c r="B37" s="137"/>
      <c r="C37" s="107" t="s">
        <v>106</v>
      </c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8"/>
      <c r="AS37" s="6">
        <f t="shared" ref="AS37" si="1">SUM(D37:AR37)</f>
        <v>0</v>
      </c>
    </row>
    <row r="38" spans="1:45" ht="21.75" customHeight="1" x14ac:dyDescent="0.4">
      <c r="A38" s="133"/>
      <c r="B38" s="137"/>
      <c r="C38" s="107" t="s">
        <v>22</v>
      </c>
      <c r="D38" s="3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8"/>
      <c r="AS38" s="6">
        <f t="shared" si="0"/>
        <v>0</v>
      </c>
    </row>
    <row r="39" spans="1:45" ht="21.75" customHeight="1" x14ac:dyDescent="0.4">
      <c r="A39" s="133"/>
      <c r="B39" s="137"/>
      <c r="C39" s="107" t="s">
        <v>23</v>
      </c>
      <c r="D39" s="19"/>
      <c r="E39" s="10"/>
      <c r="F39" s="10"/>
      <c r="G39" s="10">
        <v>1</v>
      </c>
      <c r="H39" s="10">
        <v>1</v>
      </c>
      <c r="I39" s="10"/>
      <c r="J39" s="10">
        <v>1</v>
      </c>
      <c r="K39" s="10">
        <v>1</v>
      </c>
      <c r="L39" s="10">
        <v>1</v>
      </c>
      <c r="M39" s="10">
        <v>1</v>
      </c>
      <c r="N39" s="10"/>
      <c r="O39" s="10">
        <v>1</v>
      </c>
      <c r="P39" s="10">
        <v>1</v>
      </c>
      <c r="Q39" s="10">
        <v>1</v>
      </c>
      <c r="R39" s="10">
        <v>1</v>
      </c>
      <c r="S39" s="10"/>
      <c r="T39" s="10">
        <v>1</v>
      </c>
      <c r="U39" s="10">
        <v>1</v>
      </c>
      <c r="V39" s="10">
        <v>1</v>
      </c>
      <c r="W39" s="10">
        <v>1</v>
      </c>
      <c r="X39" s="10"/>
      <c r="Y39" s="10">
        <v>1</v>
      </c>
      <c r="Z39" s="10">
        <v>1</v>
      </c>
      <c r="AA39" s="10">
        <v>1</v>
      </c>
      <c r="AB39" s="10">
        <v>1</v>
      </c>
      <c r="AC39" s="10"/>
      <c r="AD39" s="10">
        <v>1</v>
      </c>
      <c r="AE39" s="10">
        <v>1</v>
      </c>
      <c r="AF39" s="10">
        <v>1</v>
      </c>
      <c r="AG39" s="10">
        <v>1</v>
      </c>
      <c r="AH39" s="10"/>
      <c r="AI39" s="10">
        <v>1</v>
      </c>
      <c r="AJ39" s="10">
        <v>1</v>
      </c>
      <c r="AK39" s="10"/>
      <c r="AL39" s="10"/>
      <c r="AM39" s="10"/>
      <c r="AN39" s="10"/>
      <c r="AO39" s="10"/>
      <c r="AP39" s="10"/>
      <c r="AQ39" s="10"/>
      <c r="AR39" s="9"/>
      <c r="AS39" s="6">
        <f t="shared" si="0"/>
        <v>24</v>
      </c>
    </row>
    <row r="40" spans="1:45" ht="21.75" customHeight="1" thickBot="1" x14ac:dyDescent="0.45">
      <c r="A40" s="134"/>
      <c r="B40" s="137"/>
      <c r="C40" s="108" t="s">
        <v>24</v>
      </c>
      <c r="D40" s="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4"/>
      <c r="AS40" s="6">
        <f t="shared" si="0"/>
        <v>0</v>
      </c>
    </row>
    <row r="45" spans="1:45" x14ac:dyDescent="0.4">
      <c r="I45" s="24"/>
      <c r="W45" s="24"/>
      <c r="AE45" s="24"/>
      <c r="AN45" s="24"/>
    </row>
    <row r="46" spans="1:45" x14ac:dyDescent="0.4">
      <c r="I46" s="24"/>
      <c r="W46" s="24"/>
      <c r="AE46" s="24"/>
      <c r="AN46" s="24"/>
    </row>
    <row r="47" spans="1:45" x14ac:dyDescent="0.4">
      <c r="I47" s="24"/>
      <c r="W47" s="24"/>
      <c r="AE47" s="24"/>
      <c r="AN47" s="24"/>
    </row>
  </sheetData>
  <mergeCells count="23">
    <mergeCell ref="A1:AS1"/>
    <mergeCell ref="AK6:AR6"/>
    <mergeCell ref="AS5:AS7"/>
    <mergeCell ref="L6:P6"/>
    <mergeCell ref="Q6:U6"/>
    <mergeCell ref="V6:Z6"/>
    <mergeCell ref="AA6:AE6"/>
    <mergeCell ref="AF6:AJ6"/>
    <mergeCell ref="B3:C3"/>
    <mergeCell ref="D5:AR5"/>
    <mergeCell ref="A32:A35"/>
    <mergeCell ref="B32:B40"/>
    <mergeCell ref="A36:A40"/>
    <mergeCell ref="D6:F6"/>
    <mergeCell ref="G6:K6"/>
    <mergeCell ref="A20:A31"/>
    <mergeCell ref="B20:B25"/>
    <mergeCell ref="B26:B29"/>
    <mergeCell ref="B30:B31"/>
    <mergeCell ref="A8:A19"/>
    <mergeCell ref="B8:B11"/>
    <mergeCell ref="B12:B15"/>
    <mergeCell ref="B16:B19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5BA9-EA16-4CF9-BB09-6D239F280F1D}">
  <sheetPr>
    <pageSetUpPr fitToPage="1"/>
  </sheetPr>
  <dimension ref="A1:AJ47"/>
  <sheetViews>
    <sheetView view="pageBreakPreview" topLeftCell="A5" zoomScale="50" zoomScaleNormal="40" zoomScaleSheetLayoutView="50" workbookViewId="0">
      <selection activeCell="AB26" sqref="AB26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3" width="25.33203125" style="2" customWidth="1"/>
    <col min="4" max="35" width="9.77734375" customWidth="1"/>
    <col min="36" max="36" width="21.88671875" style="1" customWidth="1"/>
  </cols>
  <sheetData>
    <row r="1" spans="1:36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</row>
    <row r="2" spans="1:36" s="30" customFormat="1" ht="30.6" customHeight="1" x14ac:dyDescent="0.3">
      <c r="A2" s="82" t="str">
        <f>RECAP!A2</f>
        <v>DU 01/02/26 AU 16/02/26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36" s="30" customFormat="1" x14ac:dyDescent="0.3">
      <c r="B3" s="149"/>
      <c r="C3" s="149"/>
    </row>
    <row r="4" spans="1:36" ht="21.6" thickBot="1" x14ac:dyDescent="0.45"/>
    <row r="5" spans="1:36" s="15" customFormat="1" ht="36" customHeight="1" thickBot="1" x14ac:dyDescent="0.5">
      <c r="B5" s="16"/>
      <c r="C5" s="2"/>
      <c r="D5" s="170" t="s">
        <v>0</v>
      </c>
      <c r="E5" s="171"/>
      <c r="F5" s="171"/>
      <c r="G5" s="171"/>
      <c r="H5" s="171"/>
      <c r="I5" s="171"/>
      <c r="J5" s="171"/>
      <c r="K5" s="171"/>
      <c r="L5" s="171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53" t="s">
        <v>26</v>
      </c>
    </row>
    <row r="6" spans="1:36" s="13" customFormat="1" ht="42.6" customHeight="1" thickBot="1" x14ac:dyDescent="0.35">
      <c r="B6" s="14"/>
      <c r="C6" s="2"/>
      <c r="D6" s="138" t="s">
        <v>66</v>
      </c>
      <c r="E6" s="139"/>
      <c r="F6" s="139"/>
      <c r="G6" s="140"/>
      <c r="H6" s="138" t="s">
        <v>67</v>
      </c>
      <c r="I6" s="139"/>
      <c r="J6" s="139"/>
      <c r="K6" s="140"/>
      <c r="L6" s="138" t="s">
        <v>68</v>
      </c>
      <c r="M6" s="139"/>
      <c r="N6" s="139"/>
      <c r="O6" s="140"/>
      <c r="P6" s="138" t="s">
        <v>69</v>
      </c>
      <c r="Q6" s="139"/>
      <c r="R6" s="139"/>
      <c r="S6" s="140"/>
      <c r="T6" s="138" t="s">
        <v>70</v>
      </c>
      <c r="U6" s="139"/>
      <c r="V6" s="139"/>
      <c r="W6" s="140"/>
      <c r="X6" s="138" t="s">
        <v>71</v>
      </c>
      <c r="Y6" s="139"/>
      <c r="Z6" s="139"/>
      <c r="AA6" s="140"/>
      <c r="AB6" s="138" t="s">
        <v>72</v>
      </c>
      <c r="AC6" s="139"/>
      <c r="AD6" s="139"/>
      <c r="AE6" s="139"/>
      <c r="AF6" s="139"/>
      <c r="AG6" s="139"/>
      <c r="AH6" s="139"/>
      <c r="AI6" s="140"/>
      <c r="AJ6" s="154"/>
    </row>
    <row r="7" spans="1:36" s="13" customFormat="1" ht="42.6" customHeight="1" thickBot="1" x14ac:dyDescent="0.35">
      <c r="B7" s="122" t="s">
        <v>89</v>
      </c>
      <c r="C7" s="66" t="s">
        <v>88</v>
      </c>
      <c r="D7" s="63" t="s">
        <v>27</v>
      </c>
      <c r="E7" s="64" t="s">
        <v>28</v>
      </c>
      <c r="F7" s="64" t="s">
        <v>29</v>
      </c>
      <c r="G7" s="64" t="s">
        <v>30</v>
      </c>
      <c r="H7" s="64" t="s">
        <v>31</v>
      </c>
      <c r="I7" s="64" t="s">
        <v>32</v>
      </c>
      <c r="J7" s="64" t="s">
        <v>33</v>
      </c>
      <c r="K7" s="64" t="s">
        <v>34</v>
      </c>
      <c r="L7" s="64" t="s">
        <v>35</v>
      </c>
      <c r="M7" s="64" t="s">
        <v>36</v>
      </c>
      <c r="N7" s="64" t="s">
        <v>37</v>
      </c>
      <c r="O7" s="64" t="s">
        <v>38</v>
      </c>
      <c r="P7" s="64" t="s">
        <v>39</v>
      </c>
      <c r="Q7" s="64" t="s">
        <v>40</v>
      </c>
      <c r="R7" s="64" t="s">
        <v>41</v>
      </c>
      <c r="S7" s="64" t="s">
        <v>42</v>
      </c>
      <c r="T7" s="64" t="s">
        <v>43</v>
      </c>
      <c r="U7" s="64" t="s">
        <v>44</v>
      </c>
      <c r="V7" s="64" t="s">
        <v>45</v>
      </c>
      <c r="W7" s="64" t="s">
        <v>46</v>
      </c>
      <c r="X7" s="64" t="s">
        <v>47</v>
      </c>
      <c r="Y7" s="64" t="s">
        <v>48</v>
      </c>
      <c r="Z7" s="64" t="s">
        <v>49</v>
      </c>
      <c r="AA7" s="64" t="s">
        <v>50</v>
      </c>
      <c r="AB7" s="64" t="s">
        <v>81</v>
      </c>
      <c r="AC7" s="64" t="s">
        <v>82</v>
      </c>
      <c r="AD7" s="64" t="s">
        <v>83</v>
      </c>
      <c r="AE7" s="64" t="s">
        <v>84</v>
      </c>
      <c r="AF7" s="64" t="s">
        <v>85</v>
      </c>
      <c r="AG7" s="64" t="s">
        <v>86</v>
      </c>
      <c r="AH7" s="64" t="s">
        <v>90</v>
      </c>
      <c r="AI7" s="65" t="s">
        <v>87</v>
      </c>
      <c r="AJ7" s="155"/>
    </row>
    <row r="8" spans="1:36" ht="21.75" customHeight="1" x14ac:dyDescent="0.4">
      <c r="A8" s="145" t="s">
        <v>73</v>
      </c>
      <c r="B8" s="135" t="s">
        <v>11</v>
      </c>
      <c r="C8" s="107" t="s">
        <v>7</v>
      </c>
      <c r="D8" s="60">
        <v>1</v>
      </c>
      <c r="E8" s="129"/>
      <c r="F8" s="61">
        <v>1</v>
      </c>
      <c r="G8" s="61">
        <v>1</v>
      </c>
      <c r="H8" s="61">
        <v>1</v>
      </c>
      <c r="I8" s="61">
        <v>1</v>
      </c>
      <c r="J8" s="61">
        <v>1</v>
      </c>
      <c r="K8" s="61">
        <v>1</v>
      </c>
      <c r="L8" s="61">
        <v>1</v>
      </c>
      <c r="M8" s="61">
        <v>1</v>
      </c>
      <c r="N8" s="61">
        <v>1</v>
      </c>
      <c r="O8" s="61">
        <v>1</v>
      </c>
      <c r="P8" s="61">
        <v>1</v>
      </c>
      <c r="Q8" s="61">
        <v>1</v>
      </c>
      <c r="R8" s="61">
        <v>1</v>
      </c>
      <c r="S8" s="61">
        <v>1</v>
      </c>
      <c r="T8" s="61">
        <v>1</v>
      </c>
      <c r="U8" s="61">
        <v>1</v>
      </c>
      <c r="V8" s="61">
        <v>1</v>
      </c>
      <c r="W8" s="61">
        <v>1</v>
      </c>
      <c r="X8" s="61">
        <v>1</v>
      </c>
      <c r="Y8" s="61">
        <v>1</v>
      </c>
      <c r="Z8" s="61">
        <v>1</v>
      </c>
      <c r="AA8" s="61">
        <v>1</v>
      </c>
      <c r="AB8" s="61"/>
      <c r="AC8" s="61"/>
      <c r="AD8" s="61"/>
      <c r="AE8" s="61"/>
      <c r="AF8" s="61"/>
      <c r="AG8" s="61"/>
      <c r="AH8" s="61"/>
      <c r="AI8" s="62"/>
      <c r="AJ8" s="6">
        <f t="shared" ref="AJ8:AJ40" si="0">SUM(D8:AI8)</f>
        <v>23</v>
      </c>
    </row>
    <row r="9" spans="1:36" ht="21.75" customHeight="1" x14ac:dyDescent="0.4">
      <c r="A9" s="146"/>
      <c r="B9" s="135"/>
      <c r="C9" s="114" t="s">
        <v>8</v>
      </c>
      <c r="D9" s="51">
        <v>1</v>
      </c>
      <c r="E9" s="130">
        <v>1</v>
      </c>
      <c r="F9" s="52">
        <v>1</v>
      </c>
      <c r="G9" s="52">
        <v>1</v>
      </c>
      <c r="H9" s="52">
        <v>1</v>
      </c>
      <c r="I9" s="52">
        <v>1</v>
      </c>
      <c r="J9" s="52">
        <v>1</v>
      </c>
      <c r="K9" s="52">
        <v>1</v>
      </c>
      <c r="L9" s="52">
        <v>1</v>
      </c>
      <c r="M9" s="52">
        <v>1</v>
      </c>
      <c r="N9" s="52">
        <v>1</v>
      </c>
      <c r="O9" s="52">
        <v>1</v>
      </c>
      <c r="P9" s="52">
        <v>1</v>
      </c>
      <c r="Q9" s="52">
        <v>1</v>
      </c>
      <c r="R9" s="52">
        <v>1</v>
      </c>
      <c r="S9" s="52">
        <v>1</v>
      </c>
      <c r="T9" s="52">
        <v>1</v>
      </c>
      <c r="U9" s="52">
        <v>1</v>
      </c>
      <c r="V9" s="52">
        <v>1</v>
      </c>
      <c r="W9" s="52">
        <v>1</v>
      </c>
      <c r="X9" s="52">
        <v>1</v>
      </c>
      <c r="Y9" s="52">
        <v>1</v>
      </c>
      <c r="Z9" s="52">
        <v>1</v>
      </c>
      <c r="AA9" s="52">
        <v>1</v>
      </c>
      <c r="AB9" s="52"/>
      <c r="AC9" s="52"/>
      <c r="AD9" s="52"/>
      <c r="AE9" s="52"/>
      <c r="AF9" s="52"/>
      <c r="AG9" s="52"/>
      <c r="AH9" s="52"/>
      <c r="AI9" s="53"/>
      <c r="AJ9" s="6">
        <f t="shared" si="0"/>
        <v>24</v>
      </c>
    </row>
    <row r="10" spans="1:36" ht="21.75" customHeight="1" x14ac:dyDescent="0.4">
      <c r="A10" s="146"/>
      <c r="B10" s="136"/>
      <c r="C10" s="114" t="s">
        <v>6</v>
      </c>
      <c r="D10" s="51">
        <v>1</v>
      </c>
      <c r="E10" s="130">
        <v>1</v>
      </c>
      <c r="F10" s="52">
        <v>1</v>
      </c>
      <c r="G10" s="52">
        <v>1</v>
      </c>
      <c r="H10" s="52">
        <v>1</v>
      </c>
      <c r="I10" s="52">
        <v>1</v>
      </c>
      <c r="J10" s="52">
        <v>1</v>
      </c>
      <c r="K10" s="52">
        <v>1</v>
      </c>
      <c r="L10" s="52">
        <v>1</v>
      </c>
      <c r="M10" s="52">
        <v>1</v>
      </c>
      <c r="N10" s="52">
        <v>1</v>
      </c>
      <c r="O10" s="52">
        <v>1</v>
      </c>
      <c r="P10" s="52">
        <v>1</v>
      </c>
      <c r="Q10" s="52">
        <v>1</v>
      </c>
      <c r="R10" s="52">
        <v>1</v>
      </c>
      <c r="S10" s="52">
        <v>1</v>
      </c>
      <c r="T10" s="52">
        <v>1</v>
      </c>
      <c r="U10" s="52">
        <v>1</v>
      </c>
      <c r="V10" s="52">
        <v>1</v>
      </c>
      <c r="W10" s="52">
        <v>1</v>
      </c>
      <c r="X10" s="52">
        <v>1</v>
      </c>
      <c r="Y10" s="52">
        <v>1</v>
      </c>
      <c r="Z10" s="52">
        <v>1</v>
      </c>
      <c r="AA10" s="52">
        <v>1</v>
      </c>
      <c r="AB10" s="52"/>
      <c r="AC10" s="52"/>
      <c r="AD10" s="52"/>
      <c r="AE10" s="52"/>
      <c r="AF10" s="52"/>
      <c r="AG10" s="52"/>
      <c r="AH10" s="52"/>
      <c r="AI10" s="53"/>
      <c r="AJ10" s="6">
        <f t="shared" si="0"/>
        <v>24</v>
      </c>
    </row>
    <row r="11" spans="1:36" ht="30.6" thickBot="1" x14ac:dyDescent="0.45">
      <c r="A11" s="146"/>
      <c r="B11" s="144"/>
      <c r="C11" s="115" t="s">
        <v>9</v>
      </c>
      <c r="D11" s="54">
        <v>1</v>
      </c>
      <c r="E11" s="131"/>
      <c r="F11" s="55">
        <v>1</v>
      </c>
      <c r="G11" s="55">
        <v>1</v>
      </c>
      <c r="H11" s="55">
        <v>1</v>
      </c>
      <c r="I11" s="55">
        <v>1</v>
      </c>
      <c r="J11" s="55">
        <v>1</v>
      </c>
      <c r="K11" s="55">
        <v>1</v>
      </c>
      <c r="L11" s="55">
        <v>1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  <c r="U11" s="55">
        <v>1</v>
      </c>
      <c r="V11" s="55">
        <v>1</v>
      </c>
      <c r="W11" s="55">
        <v>1</v>
      </c>
      <c r="X11" s="55">
        <v>1</v>
      </c>
      <c r="Y11" s="55">
        <v>1</v>
      </c>
      <c r="Z11" s="55">
        <v>1</v>
      </c>
      <c r="AA11" s="55">
        <v>1</v>
      </c>
      <c r="AB11" s="55"/>
      <c r="AC11" s="55"/>
      <c r="AD11" s="55"/>
      <c r="AE11" s="55"/>
      <c r="AF11" s="55"/>
      <c r="AG11" s="55"/>
      <c r="AH11" s="55"/>
      <c r="AI11" s="56"/>
      <c r="AJ11" s="29">
        <f t="shared" si="0"/>
        <v>23</v>
      </c>
    </row>
    <row r="12" spans="1:36" ht="21.75" customHeight="1" x14ac:dyDescent="0.4">
      <c r="A12" s="146"/>
      <c r="B12" s="135" t="s">
        <v>12</v>
      </c>
      <c r="C12" s="107" t="s">
        <v>7</v>
      </c>
      <c r="D12" s="57">
        <v>7</v>
      </c>
      <c r="E12" s="167" t="s">
        <v>65</v>
      </c>
      <c r="F12" s="58">
        <v>7</v>
      </c>
      <c r="G12" s="58">
        <v>8</v>
      </c>
      <c r="H12" s="58">
        <v>7</v>
      </c>
      <c r="I12" s="58">
        <v>7</v>
      </c>
      <c r="J12" s="58">
        <v>7</v>
      </c>
      <c r="K12" s="58">
        <v>8</v>
      </c>
      <c r="L12" s="58">
        <v>7</v>
      </c>
      <c r="M12" s="58">
        <v>7</v>
      </c>
      <c r="N12" s="58">
        <v>7</v>
      </c>
      <c r="O12" s="58">
        <v>8</v>
      </c>
      <c r="P12" s="58">
        <v>7</v>
      </c>
      <c r="Q12" s="58">
        <v>7</v>
      </c>
      <c r="R12" s="58">
        <v>7</v>
      </c>
      <c r="S12" s="58">
        <v>8</v>
      </c>
      <c r="T12" s="41">
        <v>7</v>
      </c>
      <c r="U12" s="41">
        <v>7</v>
      </c>
      <c r="V12" s="41">
        <v>7</v>
      </c>
      <c r="W12" s="41">
        <v>8</v>
      </c>
      <c r="X12" s="41">
        <v>7</v>
      </c>
      <c r="Y12" s="41">
        <v>7</v>
      </c>
      <c r="Z12" s="41">
        <v>7</v>
      </c>
      <c r="AA12" s="41">
        <v>8</v>
      </c>
      <c r="AB12" s="41"/>
      <c r="AC12" s="41"/>
      <c r="AD12" s="41"/>
      <c r="AE12" s="41"/>
      <c r="AF12" s="41"/>
      <c r="AG12" s="41"/>
      <c r="AH12" s="41"/>
      <c r="AI12" s="42"/>
      <c r="AJ12" s="28">
        <f t="shared" si="0"/>
        <v>167</v>
      </c>
    </row>
    <row r="13" spans="1:36" ht="21.75" customHeight="1" x14ac:dyDescent="0.4">
      <c r="A13" s="146"/>
      <c r="B13" s="135"/>
      <c r="C13" s="114" t="s">
        <v>8</v>
      </c>
      <c r="D13" s="35">
        <v>7</v>
      </c>
      <c r="E13" s="168"/>
      <c r="F13" s="36">
        <v>7</v>
      </c>
      <c r="G13" s="36">
        <v>8</v>
      </c>
      <c r="H13" s="36">
        <v>7</v>
      </c>
      <c r="I13" s="36">
        <v>7</v>
      </c>
      <c r="J13" s="36">
        <v>7</v>
      </c>
      <c r="K13" s="36">
        <v>8</v>
      </c>
      <c r="L13" s="36">
        <v>7</v>
      </c>
      <c r="M13" s="36">
        <v>7</v>
      </c>
      <c r="N13" s="36">
        <v>7</v>
      </c>
      <c r="O13" s="36">
        <v>8</v>
      </c>
      <c r="P13" s="36">
        <v>7</v>
      </c>
      <c r="Q13" s="36">
        <v>7</v>
      </c>
      <c r="R13" s="36">
        <v>7</v>
      </c>
      <c r="S13" s="36">
        <v>8</v>
      </c>
      <c r="T13" s="43">
        <v>7</v>
      </c>
      <c r="U13" s="43">
        <v>7</v>
      </c>
      <c r="V13" s="43">
        <v>7</v>
      </c>
      <c r="W13" s="43">
        <v>8</v>
      </c>
      <c r="X13" s="43">
        <v>7</v>
      </c>
      <c r="Y13" s="43">
        <v>7</v>
      </c>
      <c r="Z13" s="43">
        <v>7</v>
      </c>
      <c r="AA13" s="43">
        <v>8</v>
      </c>
      <c r="AB13" s="43"/>
      <c r="AC13" s="43"/>
      <c r="AD13" s="43"/>
      <c r="AE13" s="43"/>
      <c r="AF13" s="43"/>
      <c r="AG13" s="43"/>
      <c r="AH13" s="43"/>
      <c r="AI13" s="42"/>
      <c r="AJ13" s="6">
        <f t="shared" si="0"/>
        <v>167</v>
      </c>
    </row>
    <row r="14" spans="1:36" ht="21.75" customHeight="1" x14ac:dyDescent="0.4">
      <c r="A14" s="146"/>
      <c r="B14" s="136"/>
      <c r="C14" s="114" t="s">
        <v>6</v>
      </c>
      <c r="D14" s="35">
        <v>7</v>
      </c>
      <c r="E14" s="168"/>
      <c r="F14" s="36">
        <v>7</v>
      </c>
      <c r="G14" s="36">
        <v>8</v>
      </c>
      <c r="H14" s="36">
        <v>7</v>
      </c>
      <c r="I14" s="36">
        <v>7</v>
      </c>
      <c r="J14" s="36">
        <v>7</v>
      </c>
      <c r="K14" s="36">
        <v>8</v>
      </c>
      <c r="L14" s="36">
        <v>7</v>
      </c>
      <c r="M14" s="36">
        <v>7</v>
      </c>
      <c r="N14" s="36">
        <v>7</v>
      </c>
      <c r="O14" s="36">
        <v>8</v>
      </c>
      <c r="P14" s="36">
        <v>7</v>
      </c>
      <c r="Q14" s="36">
        <v>7</v>
      </c>
      <c r="R14" s="36">
        <v>7</v>
      </c>
      <c r="S14" s="36">
        <v>8</v>
      </c>
      <c r="T14" s="43">
        <v>7</v>
      </c>
      <c r="U14" s="43">
        <v>7</v>
      </c>
      <c r="V14" s="43">
        <v>7</v>
      </c>
      <c r="W14" s="43">
        <v>8</v>
      </c>
      <c r="X14" s="43">
        <v>7</v>
      </c>
      <c r="Y14" s="43">
        <v>7</v>
      </c>
      <c r="Z14" s="43">
        <v>7</v>
      </c>
      <c r="AA14" s="43">
        <v>8</v>
      </c>
      <c r="AB14" s="43"/>
      <c r="AC14" s="43"/>
      <c r="AD14" s="43"/>
      <c r="AE14" s="43"/>
      <c r="AF14" s="43"/>
      <c r="AG14" s="43"/>
      <c r="AH14" s="43"/>
      <c r="AI14" s="42"/>
      <c r="AJ14" s="6">
        <f t="shared" si="0"/>
        <v>167</v>
      </c>
    </row>
    <row r="15" spans="1:36" ht="30.6" thickBot="1" x14ac:dyDescent="0.45">
      <c r="A15" s="146"/>
      <c r="B15" s="144"/>
      <c r="C15" s="115" t="s">
        <v>10</v>
      </c>
      <c r="D15" s="37">
        <v>7</v>
      </c>
      <c r="E15" s="169"/>
      <c r="F15" s="38">
        <v>7</v>
      </c>
      <c r="G15" s="38">
        <v>8</v>
      </c>
      <c r="H15" s="38">
        <v>7</v>
      </c>
      <c r="I15" s="38">
        <v>7</v>
      </c>
      <c r="J15" s="38">
        <v>7</v>
      </c>
      <c r="K15" s="38">
        <v>8</v>
      </c>
      <c r="L15" s="38">
        <v>7</v>
      </c>
      <c r="M15" s="38">
        <v>7</v>
      </c>
      <c r="N15" s="38">
        <v>7</v>
      </c>
      <c r="O15" s="38">
        <v>8</v>
      </c>
      <c r="P15" s="38">
        <v>7</v>
      </c>
      <c r="Q15" s="38">
        <v>7</v>
      </c>
      <c r="R15" s="38">
        <v>7</v>
      </c>
      <c r="S15" s="38">
        <v>8</v>
      </c>
      <c r="T15" s="38">
        <v>7</v>
      </c>
      <c r="U15" s="38">
        <v>7</v>
      </c>
      <c r="V15" s="38">
        <v>7</v>
      </c>
      <c r="W15" s="38">
        <v>8</v>
      </c>
      <c r="X15" s="38">
        <v>7</v>
      </c>
      <c r="Y15" s="38">
        <v>7</v>
      </c>
      <c r="Z15" s="38">
        <v>7</v>
      </c>
      <c r="AA15" s="38">
        <v>8</v>
      </c>
      <c r="AB15" s="38"/>
      <c r="AC15" s="38"/>
      <c r="AD15" s="38"/>
      <c r="AE15" s="38"/>
      <c r="AF15" s="38"/>
      <c r="AG15" s="38"/>
      <c r="AH15" s="38"/>
      <c r="AI15" s="39"/>
      <c r="AJ15" s="29">
        <f t="shared" si="0"/>
        <v>167</v>
      </c>
    </row>
    <row r="16" spans="1:36" ht="21.75" customHeight="1" x14ac:dyDescent="0.4">
      <c r="A16" s="146"/>
      <c r="B16" s="135" t="s">
        <v>13</v>
      </c>
      <c r="C16" s="107" t="s">
        <v>7</v>
      </c>
      <c r="D16" s="40"/>
      <c r="E16" s="173" t="s">
        <v>65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>
        <v>2</v>
      </c>
      <c r="AC16" s="41">
        <v>2</v>
      </c>
      <c r="AD16" s="41">
        <v>1</v>
      </c>
      <c r="AE16" s="41">
        <v>1</v>
      </c>
      <c r="AF16" s="41">
        <v>1</v>
      </c>
      <c r="AG16" s="41">
        <v>2</v>
      </c>
      <c r="AH16" s="41"/>
      <c r="AI16" s="42">
        <v>1</v>
      </c>
      <c r="AJ16" s="28">
        <f t="shared" si="0"/>
        <v>10</v>
      </c>
    </row>
    <row r="17" spans="1:36" ht="21.75" customHeight="1" x14ac:dyDescent="0.4">
      <c r="A17" s="146"/>
      <c r="B17" s="135"/>
      <c r="C17" s="114" t="s">
        <v>8</v>
      </c>
      <c r="D17" s="40"/>
      <c r="E17" s="174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>
        <v>1</v>
      </c>
      <c r="AC17" s="43">
        <v>2</v>
      </c>
      <c r="AD17" s="43">
        <v>2</v>
      </c>
      <c r="AE17" s="43">
        <v>1</v>
      </c>
      <c r="AF17" s="43">
        <v>1</v>
      </c>
      <c r="AG17" s="43">
        <v>2</v>
      </c>
      <c r="AH17" s="43"/>
      <c r="AI17" s="42">
        <v>1</v>
      </c>
      <c r="AJ17" s="6">
        <f t="shared" si="0"/>
        <v>10</v>
      </c>
    </row>
    <row r="18" spans="1:36" ht="21.75" customHeight="1" x14ac:dyDescent="0.4">
      <c r="A18" s="146"/>
      <c r="B18" s="136"/>
      <c r="C18" s="114" t="s">
        <v>6</v>
      </c>
      <c r="D18" s="40"/>
      <c r="E18" s="174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>
        <v>2</v>
      </c>
      <c r="AC18" s="43">
        <v>2</v>
      </c>
      <c r="AD18" s="43">
        <v>1</v>
      </c>
      <c r="AE18" s="43">
        <v>1</v>
      </c>
      <c r="AF18" s="43">
        <v>1</v>
      </c>
      <c r="AG18" s="43">
        <v>2</v>
      </c>
      <c r="AH18" s="43"/>
      <c r="AI18" s="42">
        <v>1</v>
      </c>
      <c r="AJ18" s="6">
        <f t="shared" si="0"/>
        <v>10</v>
      </c>
    </row>
    <row r="19" spans="1:36" ht="30.6" thickBot="1" x14ac:dyDescent="0.45">
      <c r="A19" s="147"/>
      <c r="B19" s="144"/>
      <c r="C19" s="115" t="s">
        <v>14</v>
      </c>
      <c r="D19" s="37"/>
      <c r="E19" s="175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>
        <v>2</v>
      </c>
      <c r="AC19" s="38">
        <v>2</v>
      </c>
      <c r="AD19" s="38">
        <v>1</v>
      </c>
      <c r="AE19" s="38">
        <v>1</v>
      </c>
      <c r="AF19" s="38">
        <v>1</v>
      </c>
      <c r="AG19" s="38">
        <v>2</v>
      </c>
      <c r="AH19" s="38"/>
      <c r="AI19" s="39">
        <v>1</v>
      </c>
      <c r="AJ19" s="29">
        <f t="shared" si="0"/>
        <v>10</v>
      </c>
    </row>
    <row r="20" spans="1:36" ht="30" customHeight="1" x14ac:dyDescent="0.4">
      <c r="A20" s="141" t="s">
        <v>74</v>
      </c>
      <c r="B20" s="135" t="s">
        <v>61</v>
      </c>
      <c r="C20" s="116" t="s">
        <v>78</v>
      </c>
      <c r="D20" s="40">
        <v>9</v>
      </c>
      <c r="E20" s="173" t="s">
        <v>65</v>
      </c>
      <c r="F20" s="41">
        <v>10</v>
      </c>
      <c r="G20" s="41">
        <v>10</v>
      </c>
      <c r="H20" s="41">
        <v>9</v>
      </c>
      <c r="I20" s="41">
        <v>18</v>
      </c>
      <c r="J20" s="41">
        <v>10</v>
      </c>
      <c r="K20" s="41">
        <v>10</v>
      </c>
      <c r="L20" s="41">
        <v>9</v>
      </c>
      <c r="M20" s="41">
        <v>18</v>
      </c>
      <c r="N20" s="41">
        <v>10</v>
      </c>
      <c r="O20" s="41">
        <v>10</v>
      </c>
      <c r="P20" s="41">
        <v>9</v>
      </c>
      <c r="Q20" s="41">
        <v>17</v>
      </c>
      <c r="R20" s="41">
        <v>10</v>
      </c>
      <c r="S20" s="41">
        <v>10</v>
      </c>
      <c r="T20" s="41">
        <v>9</v>
      </c>
      <c r="U20" s="41">
        <v>18</v>
      </c>
      <c r="V20" s="41">
        <v>10</v>
      </c>
      <c r="W20" s="41">
        <v>10</v>
      </c>
      <c r="X20" s="41">
        <v>9</v>
      </c>
      <c r="Y20" s="41">
        <v>18</v>
      </c>
      <c r="Z20" s="41">
        <v>10</v>
      </c>
      <c r="AA20" s="41">
        <v>10</v>
      </c>
      <c r="AB20" s="41"/>
      <c r="AC20" s="41"/>
      <c r="AD20" s="41"/>
      <c r="AE20" s="41"/>
      <c r="AF20" s="41"/>
      <c r="AG20" s="41"/>
      <c r="AH20" s="41"/>
      <c r="AI20" s="42"/>
      <c r="AJ20" s="28">
        <f t="shared" si="0"/>
        <v>263</v>
      </c>
    </row>
    <row r="21" spans="1:36" ht="21.75" customHeight="1" x14ac:dyDescent="0.4">
      <c r="A21" s="142"/>
      <c r="B21" s="135"/>
      <c r="C21" s="114" t="s">
        <v>77</v>
      </c>
      <c r="D21" s="40">
        <v>9</v>
      </c>
      <c r="E21" s="174"/>
      <c r="F21" s="41">
        <v>10</v>
      </c>
      <c r="G21" s="41">
        <v>10</v>
      </c>
      <c r="H21" s="41">
        <v>9</v>
      </c>
      <c r="I21" s="41">
        <v>18</v>
      </c>
      <c r="J21" s="41">
        <v>10</v>
      </c>
      <c r="K21" s="41">
        <v>10</v>
      </c>
      <c r="L21" s="41">
        <v>9</v>
      </c>
      <c r="M21" s="41">
        <v>18</v>
      </c>
      <c r="N21" s="41">
        <v>10</v>
      </c>
      <c r="O21" s="41">
        <v>10</v>
      </c>
      <c r="P21" s="41">
        <v>9</v>
      </c>
      <c r="Q21" s="41">
        <v>17</v>
      </c>
      <c r="R21" s="41">
        <v>10</v>
      </c>
      <c r="S21" s="41">
        <v>10</v>
      </c>
      <c r="T21" s="41">
        <v>9</v>
      </c>
      <c r="U21" s="41">
        <v>18</v>
      </c>
      <c r="V21" s="41">
        <v>10</v>
      </c>
      <c r="W21" s="41">
        <v>10</v>
      </c>
      <c r="X21" s="41">
        <v>9</v>
      </c>
      <c r="Y21" s="41">
        <v>18</v>
      </c>
      <c r="Z21" s="41">
        <v>10</v>
      </c>
      <c r="AA21" s="41">
        <v>10</v>
      </c>
      <c r="AB21" s="41"/>
      <c r="AC21" s="41"/>
      <c r="AD21" s="41"/>
      <c r="AE21" s="41"/>
      <c r="AF21" s="41"/>
      <c r="AG21" s="41"/>
      <c r="AH21" s="41"/>
      <c r="AI21" s="42"/>
      <c r="AJ21" s="6">
        <f t="shared" si="0"/>
        <v>263</v>
      </c>
    </row>
    <row r="22" spans="1:36" ht="21.75" customHeight="1" x14ac:dyDescent="0.4">
      <c r="A22" s="142"/>
      <c r="B22" s="135"/>
      <c r="C22" s="114" t="s">
        <v>75</v>
      </c>
      <c r="D22" s="40">
        <v>6</v>
      </c>
      <c r="E22" s="174"/>
      <c r="F22" s="41">
        <v>10</v>
      </c>
      <c r="G22" s="41">
        <v>10</v>
      </c>
      <c r="H22" s="41">
        <v>9</v>
      </c>
      <c r="I22" s="41">
        <v>14</v>
      </c>
      <c r="J22" s="41">
        <v>10</v>
      </c>
      <c r="K22" s="41">
        <v>10</v>
      </c>
      <c r="L22" s="41">
        <v>9</v>
      </c>
      <c r="M22" s="41">
        <v>18</v>
      </c>
      <c r="N22" s="41">
        <v>10</v>
      </c>
      <c r="O22" s="41">
        <v>10</v>
      </c>
      <c r="P22" s="41">
        <v>9</v>
      </c>
      <c r="Q22" s="41">
        <v>17</v>
      </c>
      <c r="R22" s="41">
        <v>10</v>
      </c>
      <c r="S22" s="41">
        <v>10</v>
      </c>
      <c r="T22" s="41">
        <v>9</v>
      </c>
      <c r="U22" s="41">
        <v>18</v>
      </c>
      <c r="V22" s="41">
        <v>10</v>
      </c>
      <c r="W22" s="41">
        <v>10</v>
      </c>
      <c r="X22" s="41">
        <v>9</v>
      </c>
      <c r="Y22" s="41">
        <v>18</v>
      </c>
      <c r="Z22" s="41">
        <v>10</v>
      </c>
      <c r="AA22" s="41">
        <v>10</v>
      </c>
      <c r="AB22" s="41"/>
      <c r="AC22" s="41"/>
      <c r="AD22" s="41"/>
      <c r="AE22" s="41"/>
      <c r="AF22" s="41"/>
      <c r="AG22" s="41"/>
      <c r="AH22" s="41"/>
      <c r="AI22" s="42"/>
      <c r="AJ22" s="6">
        <f t="shared" si="0"/>
        <v>256</v>
      </c>
    </row>
    <row r="23" spans="1:36" ht="21.75" customHeight="1" x14ac:dyDescent="0.4">
      <c r="A23" s="142"/>
      <c r="B23" s="136"/>
      <c r="C23" s="114" t="s">
        <v>76</v>
      </c>
      <c r="D23" s="40">
        <v>9</v>
      </c>
      <c r="E23" s="174"/>
      <c r="F23" s="41">
        <v>10</v>
      </c>
      <c r="G23" s="41">
        <v>10</v>
      </c>
      <c r="H23" s="41">
        <v>9</v>
      </c>
      <c r="I23" s="41">
        <v>18</v>
      </c>
      <c r="J23" s="41">
        <v>10</v>
      </c>
      <c r="K23" s="41">
        <v>10</v>
      </c>
      <c r="L23" s="41">
        <v>9</v>
      </c>
      <c r="M23" s="41">
        <v>18</v>
      </c>
      <c r="N23" s="41">
        <v>10</v>
      </c>
      <c r="O23" s="41">
        <v>10</v>
      </c>
      <c r="P23" s="41">
        <v>9</v>
      </c>
      <c r="Q23" s="41">
        <v>17</v>
      </c>
      <c r="R23" s="41">
        <v>10</v>
      </c>
      <c r="S23" s="41">
        <v>10</v>
      </c>
      <c r="T23" s="41">
        <v>9</v>
      </c>
      <c r="U23" s="41">
        <v>18</v>
      </c>
      <c r="V23" s="41">
        <v>10</v>
      </c>
      <c r="W23" s="41">
        <v>10</v>
      </c>
      <c r="X23" s="41">
        <v>9</v>
      </c>
      <c r="Y23" s="41">
        <v>18</v>
      </c>
      <c r="Z23" s="41">
        <v>10</v>
      </c>
      <c r="AA23" s="41">
        <v>10</v>
      </c>
      <c r="AB23" s="41"/>
      <c r="AC23" s="41"/>
      <c r="AD23" s="41"/>
      <c r="AE23" s="41"/>
      <c r="AF23" s="41"/>
      <c r="AG23" s="41"/>
      <c r="AH23" s="41"/>
      <c r="AI23" s="42"/>
      <c r="AJ23" s="6">
        <f t="shared" si="0"/>
        <v>263</v>
      </c>
    </row>
    <row r="24" spans="1:36" ht="21.75" customHeight="1" x14ac:dyDescent="0.4">
      <c r="A24" s="142"/>
      <c r="B24" s="137"/>
      <c r="C24" s="117" t="s">
        <v>15</v>
      </c>
      <c r="D24" s="44">
        <v>2</v>
      </c>
      <c r="E24" s="174"/>
      <c r="F24" s="45">
        <v>3</v>
      </c>
      <c r="G24" s="45">
        <v>2</v>
      </c>
      <c r="H24" s="45">
        <v>2</v>
      </c>
      <c r="I24" s="45">
        <v>3</v>
      </c>
      <c r="J24" s="45">
        <v>2</v>
      </c>
      <c r="K24" s="45">
        <v>2</v>
      </c>
      <c r="L24" s="45">
        <v>2</v>
      </c>
      <c r="M24" s="45">
        <v>3</v>
      </c>
      <c r="N24" s="45">
        <v>2</v>
      </c>
      <c r="O24" s="45">
        <v>2</v>
      </c>
      <c r="P24" s="45">
        <v>2</v>
      </c>
      <c r="Q24" s="45">
        <v>3</v>
      </c>
      <c r="R24" s="45">
        <v>2</v>
      </c>
      <c r="S24" s="45">
        <v>2</v>
      </c>
      <c r="T24" s="45">
        <v>2</v>
      </c>
      <c r="U24" s="45">
        <v>3</v>
      </c>
      <c r="V24" s="45">
        <v>2</v>
      </c>
      <c r="W24" s="45">
        <v>2</v>
      </c>
      <c r="X24" s="45">
        <v>2</v>
      </c>
      <c r="Y24" s="45">
        <v>2</v>
      </c>
      <c r="Z24" s="45">
        <v>2</v>
      </c>
      <c r="AA24" s="45">
        <v>2</v>
      </c>
      <c r="AB24" s="45"/>
      <c r="AC24" s="45"/>
      <c r="AD24" s="45"/>
      <c r="AE24" s="45"/>
      <c r="AF24" s="45"/>
      <c r="AG24" s="45"/>
      <c r="AH24" s="45"/>
      <c r="AI24" s="46"/>
      <c r="AJ24" s="6">
        <f t="shared" si="0"/>
        <v>51</v>
      </c>
    </row>
    <row r="25" spans="1:36" ht="21.75" customHeight="1" thickBot="1" x14ac:dyDescent="0.45">
      <c r="A25" s="142"/>
      <c r="B25" s="144"/>
      <c r="C25" s="118" t="s">
        <v>17</v>
      </c>
      <c r="D25" s="37">
        <v>6</v>
      </c>
      <c r="E25" s="175"/>
      <c r="F25" s="38">
        <v>10</v>
      </c>
      <c r="G25" s="38">
        <v>10</v>
      </c>
      <c r="H25" s="38">
        <v>9</v>
      </c>
      <c r="I25" s="38">
        <v>8</v>
      </c>
      <c r="J25" s="38">
        <v>10</v>
      </c>
      <c r="K25" s="38">
        <v>10</v>
      </c>
      <c r="L25" s="38">
        <v>9</v>
      </c>
      <c r="M25" s="38">
        <v>8</v>
      </c>
      <c r="N25" s="38">
        <v>10</v>
      </c>
      <c r="O25" s="38">
        <v>10</v>
      </c>
      <c r="P25" s="38">
        <v>9</v>
      </c>
      <c r="Q25" s="38">
        <v>8</v>
      </c>
      <c r="R25" s="38">
        <v>10</v>
      </c>
      <c r="S25" s="38">
        <v>10</v>
      </c>
      <c r="T25" s="38">
        <v>6</v>
      </c>
      <c r="U25" s="38">
        <v>2</v>
      </c>
      <c r="V25" s="38">
        <v>10</v>
      </c>
      <c r="W25" s="38">
        <v>7</v>
      </c>
      <c r="X25" s="38">
        <v>6</v>
      </c>
      <c r="Y25" s="38">
        <v>2</v>
      </c>
      <c r="Z25" s="38">
        <v>6</v>
      </c>
      <c r="AA25" s="38">
        <v>0</v>
      </c>
      <c r="AB25" s="38"/>
      <c r="AC25" s="38"/>
      <c r="AD25" s="38"/>
      <c r="AE25" s="38"/>
      <c r="AF25" s="38"/>
      <c r="AG25" s="38"/>
      <c r="AH25" s="38"/>
      <c r="AI25" s="39"/>
      <c r="AJ25" s="29">
        <f t="shared" si="0"/>
        <v>176</v>
      </c>
    </row>
    <row r="26" spans="1:36" ht="21.75" customHeight="1" x14ac:dyDescent="0.4">
      <c r="A26" s="142"/>
      <c r="B26" s="135" t="s">
        <v>62</v>
      </c>
      <c r="C26" s="107" t="s">
        <v>16</v>
      </c>
      <c r="D26" s="40">
        <v>12</v>
      </c>
      <c r="E26" s="173" t="s">
        <v>65</v>
      </c>
      <c r="F26" s="41">
        <v>6</v>
      </c>
      <c r="G26" s="41"/>
      <c r="H26" s="41">
        <v>12</v>
      </c>
      <c r="I26" s="41"/>
      <c r="J26" s="41">
        <v>6</v>
      </c>
      <c r="K26" s="41"/>
      <c r="L26" s="41">
        <v>8</v>
      </c>
      <c r="M26" s="41"/>
      <c r="N26" s="41">
        <v>6</v>
      </c>
      <c r="O26" s="41"/>
      <c r="P26" s="41">
        <v>8</v>
      </c>
      <c r="Q26" s="41"/>
      <c r="R26" s="41">
        <v>6</v>
      </c>
      <c r="S26" s="41"/>
      <c r="T26" s="41">
        <v>8</v>
      </c>
      <c r="U26" s="41"/>
      <c r="V26" s="41">
        <v>6</v>
      </c>
      <c r="W26" s="41"/>
      <c r="X26" s="41">
        <v>12</v>
      </c>
      <c r="Y26" s="41"/>
      <c r="Z26" s="41">
        <v>6</v>
      </c>
      <c r="AA26" s="41"/>
      <c r="AB26" s="41"/>
      <c r="AC26" s="41"/>
      <c r="AD26" s="41"/>
      <c r="AE26" s="41"/>
      <c r="AF26" s="41"/>
      <c r="AG26" s="41"/>
      <c r="AH26" s="41"/>
      <c r="AI26" s="42"/>
      <c r="AJ26" s="28">
        <f t="shared" si="0"/>
        <v>96</v>
      </c>
    </row>
    <row r="27" spans="1:36" ht="21.75" customHeight="1" x14ac:dyDescent="0.4">
      <c r="A27" s="142"/>
      <c r="B27" s="136"/>
      <c r="C27" s="114" t="s">
        <v>63</v>
      </c>
      <c r="D27" s="40"/>
      <c r="E27" s="174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2"/>
      <c r="AJ27" s="6">
        <f t="shared" si="0"/>
        <v>0</v>
      </c>
    </row>
    <row r="28" spans="1:36" ht="21.75" customHeight="1" x14ac:dyDescent="0.4">
      <c r="A28" s="142"/>
      <c r="B28" s="137"/>
      <c r="C28" s="117" t="s">
        <v>15</v>
      </c>
      <c r="D28" s="44"/>
      <c r="E28" s="174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6"/>
      <c r="AJ28" s="6">
        <f t="shared" si="0"/>
        <v>0</v>
      </c>
    </row>
    <row r="29" spans="1:36" ht="21.75" customHeight="1" thickBot="1" x14ac:dyDescent="0.45">
      <c r="A29" s="142"/>
      <c r="B29" s="144"/>
      <c r="C29" s="118" t="s">
        <v>17</v>
      </c>
      <c r="D29" s="37"/>
      <c r="E29" s="175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9"/>
      <c r="AJ29" s="29">
        <f t="shared" si="0"/>
        <v>0</v>
      </c>
    </row>
    <row r="30" spans="1:36" ht="30" customHeight="1" x14ac:dyDescent="0.4">
      <c r="A30" s="142"/>
      <c r="B30" s="135" t="s">
        <v>60</v>
      </c>
      <c r="C30" s="107" t="s">
        <v>7</v>
      </c>
      <c r="D30" s="40"/>
      <c r="E30" s="173" t="s">
        <v>65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>
        <v>2</v>
      </c>
      <c r="AC30" s="41">
        <v>2</v>
      </c>
      <c r="AD30" s="41">
        <v>2</v>
      </c>
      <c r="AE30" s="41">
        <v>2</v>
      </c>
      <c r="AF30" s="41">
        <v>2</v>
      </c>
      <c r="AG30" s="41">
        <v>2</v>
      </c>
      <c r="AH30" s="41"/>
      <c r="AI30" s="42"/>
      <c r="AJ30" s="28">
        <f t="shared" si="0"/>
        <v>12</v>
      </c>
    </row>
    <row r="31" spans="1:36" ht="30" customHeight="1" thickBot="1" x14ac:dyDescent="0.45">
      <c r="A31" s="143"/>
      <c r="B31" s="144"/>
      <c r="C31" s="118" t="s">
        <v>64</v>
      </c>
      <c r="D31" s="37"/>
      <c r="E31" s="175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9"/>
      <c r="AJ31" s="29">
        <f t="shared" si="0"/>
        <v>0</v>
      </c>
    </row>
    <row r="32" spans="1:36" ht="21.75" customHeight="1" x14ac:dyDescent="0.4">
      <c r="A32" s="132" t="s">
        <v>79</v>
      </c>
      <c r="B32" s="135" t="s">
        <v>2</v>
      </c>
      <c r="C32" s="106" t="s">
        <v>18</v>
      </c>
      <c r="D32" s="59">
        <v>357</v>
      </c>
      <c r="E32" s="173" t="s">
        <v>65</v>
      </c>
      <c r="F32" s="47">
        <v>312</v>
      </c>
      <c r="G32" s="47">
        <v>427</v>
      </c>
      <c r="H32" s="47">
        <v>357</v>
      </c>
      <c r="I32" s="47">
        <v>312</v>
      </c>
      <c r="J32" s="47">
        <v>312</v>
      </c>
      <c r="K32" s="47">
        <v>427</v>
      </c>
      <c r="L32" s="47">
        <v>357</v>
      </c>
      <c r="M32" s="47">
        <v>312</v>
      </c>
      <c r="N32" s="47">
        <v>312</v>
      </c>
      <c r="O32" s="47">
        <v>427</v>
      </c>
      <c r="P32" s="47">
        <v>357</v>
      </c>
      <c r="Q32" s="47">
        <v>312</v>
      </c>
      <c r="R32" s="47">
        <v>312</v>
      </c>
      <c r="S32" s="47">
        <v>427</v>
      </c>
      <c r="T32" s="47">
        <v>357</v>
      </c>
      <c r="U32" s="47">
        <v>312</v>
      </c>
      <c r="V32" s="47">
        <v>312</v>
      </c>
      <c r="W32" s="47">
        <v>427</v>
      </c>
      <c r="X32" s="47">
        <v>357</v>
      </c>
      <c r="Y32" s="47">
        <v>312</v>
      </c>
      <c r="Z32" s="47">
        <v>312</v>
      </c>
      <c r="AA32" s="47">
        <v>435</v>
      </c>
      <c r="AB32" s="47"/>
      <c r="AC32" s="47"/>
      <c r="AD32" s="47"/>
      <c r="AE32" s="47"/>
      <c r="AF32" s="47"/>
      <c r="AG32" s="47"/>
      <c r="AH32" s="47"/>
      <c r="AI32" s="48"/>
      <c r="AJ32" s="28">
        <f t="shared" si="0"/>
        <v>8144</v>
      </c>
    </row>
    <row r="33" spans="1:36" ht="21.75" customHeight="1" x14ac:dyDescent="0.4">
      <c r="A33" s="133"/>
      <c r="B33" s="136"/>
      <c r="C33" s="107" t="s">
        <v>19</v>
      </c>
      <c r="D33" s="43">
        <v>357</v>
      </c>
      <c r="E33" s="174"/>
      <c r="F33" s="41">
        <v>312</v>
      </c>
      <c r="G33" s="41">
        <v>427</v>
      </c>
      <c r="H33" s="41">
        <v>357</v>
      </c>
      <c r="I33" s="41">
        <v>312</v>
      </c>
      <c r="J33" s="41">
        <v>312</v>
      </c>
      <c r="K33" s="41">
        <v>427</v>
      </c>
      <c r="L33" s="41">
        <v>357</v>
      </c>
      <c r="M33" s="41">
        <v>312</v>
      </c>
      <c r="N33" s="41">
        <v>312</v>
      </c>
      <c r="O33" s="41">
        <v>427</v>
      </c>
      <c r="P33" s="41">
        <v>357</v>
      </c>
      <c r="Q33" s="41">
        <v>312</v>
      </c>
      <c r="R33" s="41">
        <v>312</v>
      </c>
      <c r="S33" s="41">
        <v>427</v>
      </c>
      <c r="T33" s="41">
        <v>357</v>
      </c>
      <c r="U33" s="41">
        <v>312</v>
      </c>
      <c r="V33" s="41">
        <v>312</v>
      </c>
      <c r="W33" s="41">
        <v>427</v>
      </c>
      <c r="X33" s="41">
        <v>357</v>
      </c>
      <c r="Y33" s="41">
        <v>312</v>
      </c>
      <c r="Z33" s="41">
        <v>312</v>
      </c>
      <c r="AA33" s="41">
        <v>435</v>
      </c>
      <c r="AB33" s="41"/>
      <c r="AC33" s="41"/>
      <c r="AD33" s="41"/>
      <c r="AE33" s="41"/>
      <c r="AF33" s="41"/>
      <c r="AG33" s="41"/>
      <c r="AH33" s="41"/>
      <c r="AI33" s="42"/>
      <c r="AJ33" s="6">
        <f t="shared" si="0"/>
        <v>8144</v>
      </c>
    </row>
    <row r="34" spans="1:36" ht="21.75" customHeight="1" x14ac:dyDescent="0.4">
      <c r="A34" s="133"/>
      <c r="B34" s="137"/>
      <c r="C34" s="107" t="s">
        <v>25</v>
      </c>
      <c r="D34" s="127">
        <v>357</v>
      </c>
      <c r="E34" s="174"/>
      <c r="F34" s="36">
        <v>624</v>
      </c>
      <c r="G34" s="36">
        <v>854</v>
      </c>
      <c r="H34" s="36">
        <v>714</v>
      </c>
      <c r="I34" s="36">
        <v>624</v>
      </c>
      <c r="J34" s="36">
        <v>624</v>
      </c>
      <c r="K34" s="36">
        <v>854</v>
      </c>
      <c r="L34" s="36">
        <v>714</v>
      </c>
      <c r="M34" s="36">
        <v>624</v>
      </c>
      <c r="N34" s="36">
        <v>624</v>
      </c>
      <c r="O34" s="36">
        <v>854</v>
      </c>
      <c r="P34" s="36">
        <v>714</v>
      </c>
      <c r="Q34" s="36">
        <v>624</v>
      </c>
      <c r="R34" s="36">
        <v>624</v>
      </c>
      <c r="S34" s="36">
        <v>854</v>
      </c>
      <c r="T34" s="36">
        <v>714</v>
      </c>
      <c r="U34" s="36">
        <v>624</v>
      </c>
      <c r="V34" s="36">
        <v>624</v>
      </c>
      <c r="W34" s="36">
        <v>854</v>
      </c>
      <c r="X34" s="36">
        <v>714</v>
      </c>
      <c r="Y34" s="36">
        <v>624</v>
      </c>
      <c r="Z34" s="36">
        <v>624</v>
      </c>
      <c r="AA34" s="36">
        <v>870</v>
      </c>
      <c r="AB34" s="36"/>
      <c r="AC34" s="36"/>
      <c r="AD34" s="36"/>
      <c r="AE34" s="36"/>
      <c r="AF34" s="36"/>
      <c r="AG34" s="36"/>
      <c r="AH34" s="36"/>
      <c r="AI34" s="128"/>
      <c r="AJ34" s="6">
        <f t="shared" si="0"/>
        <v>15931</v>
      </c>
    </row>
    <row r="35" spans="1:36" ht="21.75" customHeight="1" thickBot="1" x14ac:dyDescent="0.45">
      <c r="A35" s="134"/>
      <c r="B35" s="137"/>
      <c r="C35" s="108" t="s">
        <v>20</v>
      </c>
      <c r="D35" s="43"/>
      <c r="E35" s="174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6"/>
      <c r="AJ35" s="109">
        <f t="shared" si="0"/>
        <v>0</v>
      </c>
    </row>
    <row r="36" spans="1:36" ht="21.75" customHeight="1" x14ac:dyDescent="0.4">
      <c r="A36" s="132" t="s">
        <v>80</v>
      </c>
      <c r="B36" s="137"/>
      <c r="C36" s="106" t="s">
        <v>21</v>
      </c>
      <c r="D36" s="96">
        <v>357</v>
      </c>
      <c r="E36" s="174"/>
      <c r="F36" s="58">
        <v>312</v>
      </c>
      <c r="G36" s="58">
        <v>427</v>
      </c>
      <c r="H36" s="58">
        <v>357</v>
      </c>
      <c r="I36" s="58">
        <v>312</v>
      </c>
      <c r="J36" s="58">
        <v>312</v>
      </c>
      <c r="K36" s="58">
        <v>427</v>
      </c>
      <c r="L36" s="58">
        <v>357</v>
      </c>
      <c r="M36" s="58">
        <v>312</v>
      </c>
      <c r="N36" s="58">
        <v>312</v>
      </c>
      <c r="O36" s="58">
        <v>427</v>
      </c>
      <c r="P36" s="58">
        <v>357</v>
      </c>
      <c r="Q36" s="58">
        <v>312</v>
      </c>
      <c r="R36" s="58">
        <v>312</v>
      </c>
      <c r="S36" s="58">
        <v>427</v>
      </c>
      <c r="T36" s="58">
        <v>357</v>
      </c>
      <c r="U36" s="58">
        <v>312</v>
      </c>
      <c r="V36" s="58">
        <v>312</v>
      </c>
      <c r="W36" s="58">
        <v>427</v>
      </c>
      <c r="X36" s="58">
        <v>357</v>
      </c>
      <c r="Y36" s="58">
        <v>312</v>
      </c>
      <c r="Z36" s="58">
        <v>312</v>
      </c>
      <c r="AA36" s="58">
        <v>435</v>
      </c>
      <c r="AB36" s="58"/>
      <c r="AC36" s="58"/>
      <c r="AD36" s="58"/>
      <c r="AE36" s="58"/>
      <c r="AF36" s="58"/>
      <c r="AG36" s="58"/>
      <c r="AH36" s="58"/>
      <c r="AI36" s="112"/>
      <c r="AJ36" s="113">
        <f t="shared" si="0"/>
        <v>8144</v>
      </c>
    </row>
    <row r="37" spans="1:36" ht="21.75" customHeight="1" x14ac:dyDescent="0.4">
      <c r="A37" s="133"/>
      <c r="B37" s="137"/>
      <c r="C37" s="107" t="s">
        <v>106</v>
      </c>
      <c r="D37" s="96">
        <v>1</v>
      </c>
      <c r="E37" s="174"/>
      <c r="F37" s="49">
        <v>1</v>
      </c>
      <c r="G37" s="49">
        <v>1</v>
      </c>
      <c r="H37" s="49">
        <v>1</v>
      </c>
      <c r="I37" s="49">
        <v>1</v>
      </c>
      <c r="J37" s="49">
        <v>1</v>
      </c>
      <c r="K37" s="49">
        <v>1</v>
      </c>
      <c r="L37" s="49">
        <v>1</v>
      </c>
      <c r="M37" s="49">
        <v>1</v>
      </c>
      <c r="N37" s="49">
        <v>1</v>
      </c>
      <c r="O37" s="49">
        <v>1</v>
      </c>
      <c r="P37" s="49">
        <v>1</v>
      </c>
      <c r="Q37" s="49">
        <v>1</v>
      </c>
      <c r="R37" s="49">
        <v>1</v>
      </c>
      <c r="S37" s="49">
        <v>1</v>
      </c>
      <c r="T37" s="49">
        <v>1</v>
      </c>
      <c r="U37" s="49">
        <v>1</v>
      </c>
      <c r="V37" s="49">
        <v>1</v>
      </c>
      <c r="W37" s="49">
        <v>1</v>
      </c>
      <c r="X37" s="49">
        <v>1</v>
      </c>
      <c r="Y37" s="49">
        <v>1</v>
      </c>
      <c r="Z37" s="49">
        <v>1</v>
      </c>
      <c r="AA37" s="49">
        <v>1</v>
      </c>
      <c r="AB37" s="49"/>
      <c r="AC37" s="49"/>
      <c r="AD37" s="49"/>
      <c r="AE37" s="49"/>
      <c r="AF37" s="49"/>
      <c r="AG37" s="49"/>
      <c r="AH37" s="49"/>
      <c r="AI37" s="50"/>
      <c r="AJ37" s="6">
        <f t="shared" ref="AJ37" si="1">SUM(D37:AI37)</f>
        <v>23</v>
      </c>
    </row>
    <row r="38" spans="1:36" ht="21.75" customHeight="1" x14ac:dyDescent="0.4">
      <c r="A38" s="133"/>
      <c r="B38" s="137"/>
      <c r="C38" s="107" t="s">
        <v>22</v>
      </c>
      <c r="D38" s="96">
        <v>1</v>
      </c>
      <c r="E38" s="174"/>
      <c r="F38" s="49">
        <v>1</v>
      </c>
      <c r="G38" s="49">
        <v>1</v>
      </c>
      <c r="H38" s="49">
        <v>1</v>
      </c>
      <c r="I38" s="49">
        <v>1</v>
      </c>
      <c r="J38" s="49">
        <v>1</v>
      </c>
      <c r="K38" s="49">
        <v>1</v>
      </c>
      <c r="L38" s="49">
        <v>1</v>
      </c>
      <c r="M38" s="49">
        <v>1</v>
      </c>
      <c r="N38" s="49">
        <v>1</v>
      </c>
      <c r="O38" s="49">
        <v>1</v>
      </c>
      <c r="P38" s="49">
        <v>1</v>
      </c>
      <c r="Q38" s="49">
        <v>1</v>
      </c>
      <c r="R38" s="49">
        <v>1</v>
      </c>
      <c r="S38" s="49">
        <v>1</v>
      </c>
      <c r="T38" s="49">
        <v>1</v>
      </c>
      <c r="U38" s="49">
        <v>1</v>
      </c>
      <c r="V38" s="49">
        <v>1</v>
      </c>
      <c r="W38" s="49">
        <v>1</v>
      </c>
      <c r="X38" s="49">
        <v>1</v>
      </c>
      <c r="Y38" s="49">
        <v>1</v>
      </c>
      <c r="Z38" s="49">
        <v>1</v>
      </c>
      <c r="AA38" s="49">
        <v>1</v>
      </c>
      <c r="AB38" s="49"/>
      <c r="AC38" s="49"/>
      <c r="AD38" s="49"/>
      <c r="AE38" s="49"/>
      <c r="AF38" s="49"/>
      <c r="AG38" s="49"/>
      <c r="AH38" s="49"/>
      <c r="AI38" s="50"/>
      <c r="AJ38" s="6">
        <f t="shared" si="0"/>
        <v>23</v>
      </c>
    </row>
    <row r="39" spans="1:36" ht="21.75" customHeight="1" x14ac:dyDescent="0.4">
      <c r="A39" s="133"/>
      <c r="B39" s="137"/>
      <c r="C39" s="107" t="s">
        <v>23</v>
      </c>
      <c r="D39" s="43">
        <v>1</v>
      </c>
      <c r="E39" s="174"/>
      <c r="F39" s="41">
        <v>1</v>
      </c>
      <c r="G39" s="41">
        <v>1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41">
        <v>1</v>
      </c>
      <c r="P39" s="41">
        <v>1</v>
      </c>
      <c r="Q39" s="41">
        <v>1</v>
      </c>
      <c r="R39" s="41">
        <v>1</v>
      </c>
      <c r="S39" s="41">
        <v>1</v>
      </c>
      <c r="T39" s="41">
        <v>1</v>
      </c>
      <c r="U39" s="41">
        <v>1</v>
      </c>
      <c r="V39" s="41">
        <v>1</v>
      </c>
      <c r="W39" s="41">
        <v>1</v>
      </c>
      <c r="X39" s="41">
        <v>1</v>
      </c>
      <c r="Y39" s="41">
        <v>1</v>
      </c>
      <c r="Z39" s="41">
        <v>1</v>
      </c>
      <c r="AA39" s="41">
        <v>1</v>
      </c>
      <c r="AB39" s="41"/>
      <c r="AC39" s="41"/>
      <c r="AD39" s="41"/>
      <c r="AE39" s="41"/>
      <c r="AF39" s="41"/>
      <c r="AG39" s="41"/>
      <c r="AH39" s="41"/>
      <c r="AI39" s="42"/>
      <c r="AJ39" s="6">
        <f t="shared" si="0"/>
        <v>23</v>
      </c>
    </row>
    <row r="40" spans="1:36" ht="21.75" customHeight="1" thickBot="1" x14ac:dyDescent="0.45">
      <c r="A40" s="134"/>
      <c r="B40" s="137"/>
      <c r="C40" s="108" t="s">
        <v>24</v>
      </c>
      <c r="D40" s="96">
        <v>1</v>
      </c>
      <c r="E40" s="174"/>
      <c r="F40" s="49">
        <v>1</v>
      </c>
      <c r="G40" s="49">
        <v>1</v>
      </c>
      <c r="H40" s="49">
        <v>1</v>
      </c>
      <c r="I40" s="49">
        <v>1</v>
      </c>
      <c r="J40" s="49">
        <v>1</v>
      </c>
      <c r="K40" s="49">
        <v>1</v>
      </c>
      <c r="L40" s="49">
        <v>1</v>
      </c>
      <c r="M40" s="49">
        <v>1</v>
      </c>
      <c r="N40" s="49">
        <v>1</v>
      </c>
      <c r="O40" s="49">
        <v>1</v>
      </c>
      <c r="P40" s="49">
        <v>1</v>
      </c>
      <c r="Q40" s="49">
        <v>1</v>
      </c>
      <c r="R40" s="49">
        <v>1</v>
      </c>
      <c r="S40" s="49">
        <v>1</v>
      </c>
      <c r="T40" s="49">
        <v>1</v>
      </c>
      <c r="U40" s="49">
        <v>1</v>
      </c>
      <c r="V40" s="49">
        <v>1</v>
      </c>
      <c r="W40" s="49">
        <v>1</v>
      </c>
      <c r="X40" s="49">
        <v>1</v>
      </c>
      <c r="Y40" s="49">
        <v>1</v>
      </c>
      <c r="Z40" s="49">
        <v>1</v>
      </c>
      <c r="AA40" s="49">
        <v>1</v>
      </c>
      <c r="AB40" s="49"/>
      <c r="AC40" s="49"/>
      <c r="AD40" s="49"/>
      <c r="AE40" s="49"/>
      <c r="AF40" s="49"/>
      <c r="AG40" s="49"/>
      <c r="AH40" s="49"/>
      <c r="AI40" s="50"/>
      <c r="AJ40" s="6">
        <f t="shared" si="0"/>
        <v>23</v>
      </c>
    </row>
    <row r="45" spans="1:36" x14ac:dyDescent="0.4">
      <c r="I45" s="24"/>
      <c r="W45" s="24"/>
      <c r="AE45" s="24"/>
    </row>
    <row r="46" spans="1:36" x14ac:dyDescent="0.4">
      <c r="I46" s="24"/>
      <c r="W46" s="24"/>
      <c r="AE46" s="24"/>
    </row>
    <row r="47" spans="1:36" x14ac:dyDescent="0.4">
      <c r="I47" s="24"/>
      <c r="W47" s="24"/>
      <c r="AE47" s="24"/>
    </row>
  </sheetData>
  <mergeCells count="28">
    <mergeCell ref="E20:E25"/>
    <mergeCell ref="E32:E40"/>
    <mergeCell ref="E30:E31"/>
    <mergeCell ref="E26:E29"/>
    <mergeCell ref="E16:E19"/>
    <mergeCell ref="B3:C3"/>
    <mergeCell ref="E12:E15"/>
    <mergeCell ref="D6:G6"/>
    <mergeCell ref="A1:AJ1"/>
    <mergeCell ref="AJ5:AJ7"/>
    <mergeCell ref="B8:B11"/>
    <mergeCell ref="B12:B15"/>
    <mergeCell ref="AB6:AI6"/>
    <mergeCell ref="D5:AI5"/>
    <mergeCell ref="H6:K6"/>
    <mergeCell ref="L6:O6"/>
    <mergeCell ref="P6:S6"/>
    <mergeCell ref="T6:W6"/>
    <mergeCell ref="X6:AA6"/>
    <mergeCell ref="B20:B25"/>
    <mergeCell ref="B26:B29"/>
    <mergeCell ref="B32:B40"/>
    <mergeCell ref="B30:B31"/>
    <mergeCell ref="A8:A19"/>
    <mergeCell ref="A32:A35"/>
    <mergeCell ref="A36:A40"/>
    <mergeCell ref="A20:A31"/>
    <mergeCell ref="B16:B19"/>
  </mergeCells>
  <phoneticPr fontId="9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3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3457-9550-479F-A55D-3083AE58525E}">
  <sheetPr>
    <pageSetUpPr fitToPage="1"/>
  </sheetPr>
  <dimension ref="A1:AJ61"/>
  <sheetViews>
    <sheetView view="pageBreakPreview" topLeftCell="A5" zoomScale="55" zoomScaleNormal="40" zoomScaleSheetLayoutView="55" workbookViewId="0">
      <pane xSplit="2" ySplit="3" topLeftCell="C38" activePane="bottomRight" state="frozen"/>
      <selection activeCell="A5" sqref="A5"/>
      <selection pane="topRight" activeCell="C5" sqref="C5"/>
      <selection pane="bottomLeft" activeCell="A8" sqref="A8"/>
      <selection pane="bottomRight" activeCell="J50" sqref="J50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3" width="25.33203125" style="2" customWidth="1"/>
    <col min="4" max="35" width="9.77734375" customWidth="1"/>
    <col min="36" max="36" width="21.88671875" style="1" customWidth="1"/>
  </cols>
  <sheetData>
    <row r="1" spans="1:36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</row>
    <row r="2" spans="1:36" s="30" customFormat="1" ht="30.6" customHeight="1" x14ac:dyDescent="0.3">
      <c r="A2" s="82" t="str">
        <f>RECAP!A2</f>
        <v>DU 01/02/26 AU 16/02/26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36" s="30" customFormat="1" x14ac:dyDescent="0.3">
      <c r="B3" s="149"/>
      <c r="C3" s="149"/>
    </row>
    <row r="4" spans="1:36" ht="21.6" thickBot="1" x14ac:dyDescent="0.45"/>
    <row r="5" spans="1:36" s="15" customFormat="1" ht="36" customHeight="1" thickBot="1" x14ac:dyDescent="0.5">
      <c r="B5" s="16"/>
      <c r="C5" s="2"/>
      <c r="D5" s="176" t="s">
        <v>1</v>
      </c>
      <c r="E5" s="177"/>
      <c r="F5" s="177"/>
      <c r="G5" s="177"/>
      <c r="H5" s="177"/>
      <c r="I5" s="177"/>
      <c r="J5" s="177"/>
      <c r="K5" s="177"/>
      <c r="L5" s="177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53" t="s">
        <v>26</v>
      </c>
    </row>
    <row r="6" spans="1:36" s="13" customFormat="1" ht="42.6" customHeight="1" thickBot="1" x14ac:dyDescent="0.35">
      <c r="B6" s="14"/>
      <c r="C6" s="2"/>
      <c r="D6" s="138" t="s">
        <v>66</v>
      </c>
      <c r="E6" s="139"/>
      <c r="F6" s="139"/>
      <c r="G6" s="140"/>
      <c r="H6" s="138" t="s">
        <v>67</v>
      </c>
      <c r="I6" s="139"/>
      <c r="J6" s="139"/>
      <c r="K6" s="140"/>
      <c r="L6" s="138" t="s">
        <v>68</v>
      </c>
      <c r="M6" s="139"/>
      <c r="N6" s="139"/>
      <c r="O6" s="140"/>
      <c r="P6" s="138" t="s">
        <v>69</v>
      </c>
      <c r="Q6" s="139"/>
      <c r="R6" s="139"/>
      <c r="S6" s="140"/>
      <c r="T6" s="138" t="s">
        <v>70</v>
      </c>
      <c r="U6" s="139"/>
      <c r="V6" s="139"/>
      <c r="W6" s="140"/>
      <c r="X6" s="138" t="s">
        <v>71</v>
      </c>
      <c r="Y6" s="139"/>
      <c r="Z6" s="139"/>
      <c r="AA6" s="140"/>
      <c r="AB6" s="138" t="s">
        <v>72</v>
      </c>
      <c r="AC6" s="139"/>
      <c r="AD6" s="139"/>
      <c r="AE6" s="139"/>
      <c r="AF6" s="139"/>
      <c r="AG6" s="139"/>
      <c r="AH6" s="139"/>
      <c r="AI6" s="140"/>
      <c r="AJ6" s="154"/>
    </row>
    <row r="7" spans="1:36" s="13" customFormat="1" ht="42.6" customHeight="1" thickBot="1" x14ac:dyDescent="0.35">
      <c r="B7" s="122" t="s">
        <v>89</v>
      </c>
      <c r="C7" s="66" t="s">
        <v>88</v>
      </c>
      <c r="D7" s="77" t="s">
        <v>27</v>
      </c>
      <c r="E7" s="71" t="s">
        <v>28</v>
      </c>
      <c r="F7" s="71" t="s">
        <v>29</v>
      </c>
      <c r="G7" s="71" t="s">
        <v>30</v>
      </c>
      <c r="H7" s="71" t="s">
        <v>31</v>
      </c>
      <c r="I7" s="71" t="s">
        <v>32</v>
      </c>
      <c r="J7" s="71" t="s">
        <v>33</v>
      </c>
      <c r="K7" s="71" t="s">
        <v>34</v>
      </c>
      <c r="L7" s="71" t="s">
        <v>35</v>
      </c>
      <c r="M7" s="71" t="s">
        <v>36</v>
      </c>
      <c r="N7" s="71" t="s">
        <v>37</v>
      </c>
      <c r="O7" s="71" t="s">
        <v>38</v>
      </c>
      <c r="P7" s="71" t="s">
        <v>39</v>
      </c>
      <c r="Q7" s="71" t="s">
        <v>40</v>
      </c>
      <c r="R7" s="71" t="s">
        <v>41</v>
      </c>
      <c r="S7" s="71" t="s">
        <v>42</v>
      </c>
      <c r="T7" s="71" t="s">
        <v>43</v>
      </c>
      <c r="U7" s="71" t="s">
        <v>44</v>
      </c>
      <c r="V7" s="71" t="s">
        <v>45</v>
      </c>
      <c r="W7" s="71" t="s">
        <v>46</v>
      </c>
      <c r="X7" s="71" t="s">
        <v>47</v>
      </c>
      <c r="Y7" s="71" t="s">
        <v>48</v>
      </c>
      <c r="Z7" s="71" t="s">
        <v>49</v>
      </c>
      <c r="AA7" s="71" t="s">
        <v>50</v>
      </c>
      <c r="AB7" s="72" t="s">
        <v>81</v>
      </c>
      <c r="AC7" s="72" t="s">
        <v>82</v>
      </c>
      <c r="AD7" s="72" t="s">
        <v>83</v>
      </c>
      <c r="AE7" s="72" t="s">
        <v>84</v>
      </c>
      <c r="AF7" s="72" t="s">
        <v>85</v>
      </c>
      <c r="AG7" s="72" t="s">
        <v>86</v>
      </c>
      <c r="AH7" s="72" t="s">
        <v>90</v>
      </c>
      <c r="AI7" s="73" t="s">
        <v>87</v>
      </c>
      <c r="AJ7" s="155"/>
    </row>
    <row r="8" spans="1:36" ht="21.75" customHeight="1" x14ac:dyDescent="0.4">
      <c r="A8" s="145" t="s">
        <v>73</v>
      </c>
      <c r="B8" s="135" t="s">
        <v>11</v>
      </c>
      <c r="C8" s="107" t="s">
        <v>7</v>
      </c>
      <c r="D8" s="74">
        <v>1</v>
      </c>
      <c r="E8" s="75">
        <v>1</v>
      </c>
      <c r="F8" s="75">
        <v>1</v>
      </c>
      <c r="G8" s="75">
        <v>1</v>
      </c>
      <c r="H8" s="75">
        <v>1</v>
      </c>
      <c r="I8" s="75">
        <v>1</v>
      </c>
      <c r="J8" s="75">
        <v>1</v>
      </c>
      <c r="K8" s="75">
        <v>1</v>
      </c>
      <c r="L8" s="75">
        <v>1</v>
      </c>
      <c r="M8" s="75">
        <v>1</v>
      </c>
      <c r="N8" s="75">
        <v>1</v>
      </c>
      <c r="O8" s="75">
        <v>1</v>
      </c>
      <c r="P8" s="75">
        <v>1</v>
      </c>
      <c r="Q8" s="75">
        <v>1</v>
      </c>
      <c r="R8" s="75">
        <v>1</v>
      </c>
      <c r="S8" s="75">
        <v>1</v>
      </c>
      <c r="T8" s="75">
        <v>1</v>
      </c>
      <c r="U8" s="75">
        <v>1</v>
      </c>
      <c r="V8" s="75">
        <v>1</v>
      </c>
      <c r="W8" s="75">
        <v>1</v>
      </c>
      <c r="X8" s="75">
        <v>1</v>
      </c>
      <c r="Y8" s="75">
        <v>1</v>
      </c>
      <c r="Z8" s="75">
        <v>1</v>
      </c>
      <c r="AA8" s="75">
        <v>1</v>
      </c>
      <c r="AB8" s="75"/>
      <c r="AC8" s="75"/>
      <c r="AD8" s="75"/>
      <c r="AE8" s="75"/>
      <c r="AF8" s="75"/>
      <c r="AG8" s="75"/>
      <c r="AH8" s="75"/>
      <c r="AI8" s="76"/>
      <c r="AJ8" s="6">
        <f t="shared" ref="AJ8:AJ40" si="0">SUM(D8:AI8)</f>
        <v>24</v>
      </c>
    </row>
    <row r="9" spans="1:36" ht="21.75" customHeight="1" x14ac:dyDescent="0.4">
      <c r="A9" s="146"/>
      <c r="B9" s="135"/>
      <c r="C9" s="114" t="s">
        <v>8</v>
      </c>
      <c r="D9" s="3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7"/>
      <c r="AJ9" s="6">
        <f t="shared" si="0"/>
        <v>0</v>
      </c>
    </row>
    <row r="10" spans="1:36" ht="21.75" customHeight="1" x14ac:dyDescent="0.4">
      <c r="A10" s="146"/>
      <c r="B10" s="136"/>
      <c r="C10" s="114" t="s">
        <v>6</v>
      </c>
      <c r="D10" s="3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7"/>
      <c r="AJ10" s="6">
        <f t="shared" si="0"/>
        <v>0</v>
      </c>
    </row>
    <row r="11" spans="1:36" ht="30.6" thickBot="1" x14ac:dyDescent="0.45">
      <c r="A11" s="146"/>
      <c r="B11" s="144"/>
      <c r="C11" s="115" t="s">
        <v>9</v>
      </c>
      <c r="D11" s="2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4"/>
      <c r="AJ11" s="69">
        <f t="shared" si="0"/>
        <v>0</v>
      </c>
    </row>
    <row r="12" spans="1:36" ht="21.75" customHeight="1" x14ac:dyDescent="0.4">
      <c r="A12" s="146"/>
      <c r="B12" s="135" t="s">
        <v>12</v>
      </c>
      <c r="C12" s="107" t="s">
        <v>7</v>
      </c>
      <c r="D12" s="19">
        <v>7</v>
      </c>
      <c r="E12" s="10">
        <v>5</v>
      </c>
      <c r="F12" s="10">
        <v>5</v>
      </c>
      <c r="G12" s="10">
        <v>5</v>
      </c>
      <c r="H12" s="10">
        <v>7</v>
      </c>
      <c r="I12" s="10">
        <v>5</v>
      </c>
      <c r="J12" s="10">
        <v>7</v>
      </c>
      <c r="K12" s="10">
        <v>5</v>
      </c>
      <c r="L12" s="10">
        <v>7</v>
      </c>
      <c r="M12" s="10">
        <v>4</v>
      </c>
      <c r="N12" s="10">
        <v>3</v>
      </c>
      <c r="O12" s="10">
        <v>5</v>
      </c>
      <c r="P12" s="10">
        <v>5</v>
      </c>
      <c r="Q12" s="10">
        <v>4</v>
      </c>
      <c r="R12" s="10">
        <v>3</v>
      </c>
      <c r="S12" s="10">
        <v>5</v>
      </c>
      <c r="T12" s="10">
        <v>5</v>
      </c>
      <c r="U12" s="10">
        <v>4</v>
      </c>
      <c r="V12" s="10">
        <v>3</v>
      </c>
      <c r="W12" s="10">
        <v>5</v>
      </c>
      <c r="X12" s="10">
        <v>7</v>
      </c>
      <c r="Y12" s="10">
        <v>5</v>
      </c>
      <c r="Z12" s="10">
        <v>5</v>
      </c>
      <c r="AA12" s="10">
        <v>7</v>
      </c>
      <c r="AB12" s="10"/>
      <c r="AC12" s="10"/>
      <c r="AD12" s="10"/>
      <c r="AE12" s="10"/>
      <c r="AF12" s="10"/>
      <c r="AG12" s="10"/>
      <c r="AH12" s="10"/>
      <c r="AI12" s="9"/>
      <c r="AJ12" s="28">
        <f t="shared" si="0"/>
        <v>123</v>
      </c>
    </row>
    <row r="13" spans="1:36" ht="21.75" customHeight="1" x14ac:dyDescent="0.4">
      <c r="A13" s="146"/>
      <c r="B13" s="135"/>
      <c r="C13" s="114" t="s">
        <v>8</v>
      </c>
      <c r="D13" s="1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32"/>
      <c r="AJ13" s="6">
        <f t="shared" si="0"/>
        <v>0</v>
      </c>
    </row>
    <row r="14" spans="1:36" ht="21.75" customHeight="1" x14ac:dyDescent="0.4">
      <c r="A14" s="146"/>
      <c r="B14" s="136"/>
      <c r="C14" s="114" t="s">
        <v>6</v>
      </c>
      <c r="D14" s="1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32"/>
      <c r="AJ14" s="6">
        <f t="shared" si="0"/>
        <v>0</v>
      </c>
    </row>
    <row r="15" spans="1:36" ht="30.6" thickBot="1" x14ac:dyDescent="0.45">
      <c r="A15" s="146"/>
      <c r="B15" s="144"/>
      <c r="C15" s="115" t="s">
        <v>10</v>
      </c>
      <c r="D15" s="2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"/>
      <c r="AJ15" s="69">
        <f t="shared" si="0"/>
        <v>0</v>
      </c>
    </row>
    <row r="16" spans="1:36" ht="21.75" customHeight="1" x14ac:dyDescent="0.4">
      <c r="A16" s="146"/>
      <c r="B16" s="135" t="s">
        <v>13</v>
      </c>
      <c r="C16" s="107" t="s">
        <v>7</v>
      </c>
      <c r="D16" s="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2</v>
      </c>
      <c r="AC16" s="10">
        <v>2</v>
      </c>
      <c r="AD16" s="10">
        <v>2</v>
      </c>
      <c r="AE16" s="10">
        <v>2</v>
      </c>
      <c r="AF16" s="10">
        <v>2</v>
      </c>
      <c r="AG16" s="10">
        <v>1</v>
      </c>
      <c r="AH16" s="10"/>
      <c r="AI16" s="9">
        <v>1</v>
      </c>
      <c r="AJ16" s="28">
        <f t="shared" si="0"/>
        <v>12</v>
      </c>
    </row>
    <row r="17" spans="1:36" ht="21.75" customHeight="1" x14ac:dyDescent="0.4">
      <c r="A17" s="146"/>
      <c r="B17" s="135"/>
      <c r="C17" s="114" t="s">
        <v>8</v>
      </c>
      <c r="D17" s="1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>
        <v>2</v>
      </c>
      <c r="AC17" s="11">
        <v>2</v>
      </c>
      <c r="AD17" s="11">
        <v>2</v>
      </c>
      <c r="AE17" s="11">
        <v>2</v>
      </c>
      <c r="AF17" s="11">
        <v>2</v>
      </c>
      <c r="AG17" s="11">
        <v>1</v>
      </c>
      <c r="AH17" s="11"/>
      <c r="AI17" s="32">
        <v>1</v>
      </c>
      <c r="AJ17" s="6">
        <f t="shared" si="0"/>
        <v>12</v>
      </c>
    </row>
    <row r="18" spans="1:36" ht="21.75" customHeight="1" x14ac:dyDescent="0.4">
      <c r="A18" s="146"/>
      <c r="B18" s="136"/>
      <c r="C18" s="114" t="s">
        <v>6</v>
      </c>
      <c r="D18" s="1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>
        <v>2</v>
      </c>
      <c r="AC18" s="11">
        <v>2</v>
      </c>
      <c r="AD18" s="11">
        <v>2</v>
      </c>
      <c r="AE18" s="11">
        <v>2</v>
      </c>
      <c r="AF18" s="11">
        <v>2</v>
      </c>
      <c r="AG18" s="11">
        <v>1</v>
      </c>
      <c r="AH18" s="11"/>
      <c r="AI18" s="32">
        <v>1</v>
      </c>
      <c r="AJ18" s="6">
        <f t="shared" si="0"/>
        <v>12</v>
      </c>
    </row>
    <row r="19" spans="1:36" ht="30.6" thickBot="1" x14ac:dyDescent="0.45">
      <c r="A19" s="147"/>
      <c r="B19" s="144"/>
      <c r="C19" s="115" t="s">
        <v>14</v>
      </c>
      <c r="D19" s="2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</v>
      </c>
      <c r="AC19" s="5">
        <v>2</v>
      </c>
      <c r="AD19" s="5">
        <v>2</v>
      </c>
      <c r="AE19" s="5">
        <v>2</v>
      </c>
      <c r="AF19" s="5">
        <v>2</v>
      </c>
      <c r="AG19" s="5">
        <v>1</v>
      </c>
      <c r="AH19" s="5"/>
      <c r="AI19" s="4">
        <v>1</v>
      </c>
      <c r="AJ19" s="69">
        <f t="shared" si="0"/>
        <v>12</v>
      </c>
    </row>
    <row r="20" spans="1:36" ht="30" customHeight="1" x14ac:dyDescent="0.4">
      <c r="A20" s="141" t="s">
        <v>74</v>
      </c>
      <c r="B20" s="135" t="s">
        <v>61</v>
      </c>
      <c r="C20" s="116" t="s">
        <v>78</v>
      </c>
      <c r="D20" s="19">
        <v>16</v>
      </c>
      <c r="E20" s="10">
        <v>7</v>
      </c>
      <c r="F20" s="10">
        <v>14</v>
      </c>
      <c r="G20" s="10">
        <v>12</v>
      </c>
      <c r="H20" s="10">
        <v>15</v>
      </c>
      <c r="I20" s="10">
        <v>7</v>
      </c>
      <c r="J20" s="10">
        <v>15</v>
      </c>
      <c r="K20" s="10">
        <v>12</v>
      </c>
      <c r="L20" s="10">
        <v>15</v>
      </c>
      <c r="M20" s="10">
        <v>7</v>
      </c>
      <c r="N20" s="10">
        <v>13</v>
      </c>
      <c r="O20" s="10">
        <v>11</v>
      </c>
      <c r="P20" s="10">
        <v>15</v>
      </c>
      <c r="Q20" s="10">
        <v>7</v>
      </c>
      <c r="R20" s="10">
        <v>14</v>
      </c>
      <c r="S20" s="10">
        <v>11</v>
      </c>
      <c r="T20" s="10">
        <v>15</v>
      </c>
      <c r="U20" s="10">
        <v>7</v>
      </c>
      <c r="V20" s="10">
        <v>15</v>
      </c>
      <c r="W20" s="10">
        <v>12</v>
      </c>
      <c r="X20" s="10">
        <v>16</v>
      </c>
      <c r="Y20" s="10">
        <v>7</v>
      </c>
      <c r="Z20" s="10">
        <v>14</v>
      </c>
      <c r="AA20" s="10">
        <v>12</v>
      </c>
      <c r="AB20" s="10"/>
      <c r="AC20" s="10"/>
      <c r="AD20" s="10"/>
      <c r="AE20" s="10"/>
      <c r="AF20" s="10"/>
      <c r="AG20" s="10"/>
      <c r="AH20" s="10"/>
      <c r="AI20" s="9"/>
      <c r="AJ20" s="28">
        <f t="shared" si="0"/>
        <v>289</v>
      </c>
    </row>
    <row r="21" spans="1:36" ht="21.75" customHeight="1" x14ac:dyDescent="0.4">
      <c r="A21" s="142"/>
      <c r="B21" s="135"/>
      <c r="C21" s="114" t="s">
        <v>77</v>
      </c>
      <c r="D21" s="19">
        <v>16</v>
      </c>
      <c r="E21" s="10">
        <v>7</v>
      </c>
      <c r="F21" s="10">
        <v>14</v>
      </c>
      <c r="G21" s="10">
        <v>12</v>
      </c>
      <c r="H21" s="10">
        <v>15</v>
      </c>
      <c r="I21" s="10">
        <v>7</v>
      </c>
      <c r="J21" s="10">
        <v>15</v>
      </c>
      <c r="K21" s="10">
        <v>12</v>
      </c>
      <c r="L21" s="10">
        <v>15</v>
      </c>
      <c r="M21" s="10">
        <v>7</v>
      </c>
      <c r="N21" s="10">
        <v>13</v>
      </c>
      <c r="O21" s="10">
        <v>11</v>
      </c>
      <c r="P21" s="10">
        <v>15</v>
      </c>
      <c r="Q21" s="10">
        <v>7</v>
      </c>
      <c r="R21" s="10">
        <v>14</v>
      </c>
      <c r="S21" s="10">
        <v>11</v>
      </c>
      <c r="T21" s="10">
        <v>15</v>
      </c>
      <c r="U21" s="10">
        <v>7</v>
      </c>
      <c r="V21" s="10">
        <v>15</v>
      </c>
      <c r="W21" s="10">
        <v>12</v>
      </c>
      <c r="X21" s="10">
        <v>16</v>
      </c>
      <c r="Y21" s="10">
        <v>7</v>
      </c>
      <c r="Z21" s="10">
        <v>14</v>
      </c>
      <c r="AA21" s="10">
        <v>12</v>
      </c>
      <c r="AB21" s="10"/>
      <c r="AC21" s="10"/>
      <c r="AD21" s="10"/>
      <c r="AE21" s="10"/>
      <c r="AF21" s="10"/>
      <c r="AG21" s="10"/>
      <c r="AH21" s="10"/>
      <c r="AI21" s="9"/>
      <c r="AJ21" s="6">
        <f t="shared" si="0"/>
        <v>289</v>
      </c>
    </row>
    <row r="22" spans="1:36" ht="21.75" customHeight="1" x14ac:dyDescent="0.4">
      <c r="A22" s="142"/>
      <c r="B22" s="135"/>
      <c r="C22" s="114" t="s">
        <v>75</v>
      </c>
      <c r="D22" s="19">
        <v>16</v>
      </c>
      <c r="E22" s="10">
        <v>7</v>
      </c>
      <c r="F22" s="10">
        <v>14</v>
      </c>
      <c r="G22" s="10">
        <v>12</v>
      </c>
      <c r="H22" s="10">
        <v>12</v>
      </c>
      <c r="I22" s="10">
        <v>7</v>
      </c>
      <c r="J22" s="10">
        <v>15</v>
      </c>
      <c r="K22" s="10">
        <v>12</v>
      </c>
      <c r="L22" s="10">
        <v>15</v>
      </c>
      <c r="M22" s="10">
        <v>7</v>
      </c>
      <c r="N22" s="10">
        <v>13</v>
      </c>
      <c r="O22" s="10">
        <v>11</v>
      </c>
      <c r="P22" s="10">
        <v>15</v>
      </c>
      <c r="Q22" s="10">
        <v>7</v>
      </c>
      <c r="R22" s="10">
        <v>14</v>
      </c>
      <c r="S22" s="10">
        <v>11</v>
      </c>
      <c r="T22" s="10">
        <v>15</v>
      </c>
      <c r="U22" s="10">
        <v>7</v>
      </c>
      <c r="V22" s="10">
        <v>15</v>
      </c>
      <c r="W22" s="10">
        <v>12</v>
      </c>
      <c r="X22" s="10">
        <v>16</v>
      </c>
      <c r="Y22" s="10">
        <v>7</v>
      </c>
      <c r="Z22" s="10">
        <v>14</v>
      </c>
      <c r="AA22" s="10">
        <v>12</v>
      </c>
      <c r="AB22" s="10"/>
      <c r="AC22" s="10"/>
      <c r="AD22" s="10"/>
      <c r="AE22" s="10"/>
      <c r="AF22" s="10"/>
      <c r="AG22" s="10"/>
      <c r="AH22" s="10"/>
      <c r="AI22" s="9"/>
      <c r="AJ22" s="6">
        <f t="shared" si="0"/>
        <v>286</v>
      </c>
    </row>
    <row r="23" spans="1:36" ht="21.75" customHeight="1" x14ac:dyDescent="0.4">
      <c r="A23" s="142"/>
      <c r="B23" s="136"/>
      <c r="C23" s="114" t="s">
        <v>76</v>
      </c>
      <c r="D23" s="1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9"/>
      <c r="AJ23" s="6">
        <f t="shared" si="0"/>
        <v>0</v>
      </c>
    </row>
    <row r="24" spans="1:36" ht="21.75" customHeight="1" x14ac:dyDescent="0.4">
      <c r="A24" s="142"/>
      <c r="B24" s="137"/>
      <c r="C24" s="117" t="s">
        <v>15</v>
      </c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7"/>
      <c r="AJ24" s="6">
        <f t="shared" si="0"/>
        <v>0</v>
      </c>
    </row>
    <row r="25" spans="1:36" ht="21.75" customHeight="1" thickBot="1" x14ac:dyDescent="0.45">
      <c r="A25" s="142"/>
      <c r="B25" s="144"/>
      <c r="C25" s="118" t="s">
        <v>17</v>
      </c>
      <c r="D25" s="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4"/>
      <c r="AJ25" s="69">
        <f t="shared" si="0"/>
        <v>0</v>
      </c>
    </row>
    <row r="26" spans="1:36" ht="21.75" customHeight="1" x14ac:dyDescent="0.4">
      <c r="A26" s="142"/>
      <c r="B26" s="135" t="s">
        <v>62</v>
      </c>
      <c r="C26" s="107" t="s">
        <v>16</v>
      </c>
      <c r="D26" s="19"/>
      <c r="E26" s="10">
        <v>5</v>
      </c>
      <c r="F26" s="10"/>
      <c r="G26" s="10"/>
      <c r="H26" s="10"/>
      <c r="I26" s="10">
        <v>5</v>
      </c>
      <c r="J26" s="10"/>
      <c r="K26" s="10"/>
      <c r="L26" s="10"/>
      <c r="M26" s="10">
        <v>5</v>
      </c>
      <c r="N26" s="10"/>
      <c r="O26" s="10"/>
      <c r="P26" s="10"/>
      <c r="Q26" s="10">
        <v>5</v>
      </c>
      <c r="R26" s="10"/>
      <c r="S26" s="10"/>
      <c r="T26" s="10"/>
      <c r="U26" s="10">
        <v>5</v>
      </c>
      <c r="V26" s="10"/>
      <c r="W26" s="10"/>
      <c r="X26" s="10"/>
      <c r="Y26" s="10">
        <v>5</v>
      </c>
      <c r="Z26" s="10"/>
      <c r="AA26" s="10"/>
      <c r="AB26" s="10"/>
      <c r="AC26" s="10"/>
      <c r="AD26" s="10"/>
      <c r="AE26" s="10"/>
      <c r="AF26" s="10"/>
      <c r="AG26" s="10"/>
      <c r="AH26" s="10"/>
      <c r="AI26" s="9"/>
      <c r="AJ26" s="28">
        <f t="shared" si="0"/>
        <v>30</v>
      </c>
    </row>
    <row r="27" spans="1:36" ht="21.75" customHeight="1" x14ac:dyDescent="0.4">
      <c r="A27" s="142"/>
      <c r="B27" s="136"/>
      <c r="C27" s="114" t="s">
        <v>63</v>
      </c>
      <c r="D27" s="19"/>
      <c r="E27" s="10">
        <v>5</v>
      </c>
      <c r="F27" s="10"/>
      <c r="G27" s="10"/>
      <c r="H27" s="10"/>
      <c r="I27" s="10">
        <v>5</v>
      </c>
      <c r="J27" s="10"/>
      <c r="K27" s="10"/>
      <c r="L27" s="10"/>
      <c r="M27" s="10">
        <v>5</v>
      </c>
      <c r="N27" s="10"/>
      <c r="O27" s="10"/>
      <c r="P27" s="10"/>
      <c r="Q27" s="10">
        <v>5</v>
      </c>
      <c r="R27" s="10"/>
      <c r="S27" s="10"/>
      <c r="T27" s="10"/>
      <c r="U27" s="10">
        <v>5</v>
      </c>
      <c r="V27" s="10"/>
      <c r="W27" s="10"/>
      <c r="X27" s="10"/>
      <c r="Y27" s="10">
        <v>5</v>
      </c>
      <c r="Z27" s="10"/>
      <c r="AA27" s="10"/>
      <c r="AB27" s="10"/>
      <c r="AC27" s="10"/>
      <c r="AD27" s="10"/>
      <c r="AE27" s="10"/>
      <c r="AF27" s="10"/>
      <c r="AG27" s="10"/>
      <c r="AH27" s="10"/>
      <c r="AI27" s="9"/>
      <c r="AJ27" s="6">
        <f t="shared" si="0"/>
        <v>30</v>
      </c>
    </row>
    <row r="28" spans="1:36" ht="21.75" customHeight="1" x14ac:dyDescent="0.4">
      <c r="A28" s="142"/>
      <c r="B28" s="137"/>
      <c r="C28" s="117" t="s">
        <v>15</v>
      </c>
      <c r="D28" s="25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6">
        <f t="shared" si="0"/>
        <v>0</v>
      </c>
    </row>
    <row r="29" spans="1:36" ht="21.75" customHeight="1" thickBot="1" x14ac:dyDescent="0.45">
      <c r="A29" s="142"/>
      <c r="B29" s="144"/>
      <c r="C29" s="118" t="s">
        <v>17</v>
      </c>
      <c r="D29" s="2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4"/>
      <c r="AJ29" s="69">
        <f t="shared" si="0"/>
        <v>0</v>
      </c>
    </row>
    <row r="30" spans="1:36" ht="30" customHeight="1" x14ac:dyDescent="0.4">
      <c r="A30" s="142"/>
      <c r="B30" s="135" t="s">
        <v>60</v>
      </c>
      <c r="C30" s="107" t="s">
        <v>7</v>
      </c>
      <c r="D30" s="1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9"/>
      <c r="AJ30" s="28">
        <f t="shared" si="0"/>
        <v>0</v>
      </c>
    </row>
    <row r="31" spans="1:36" ht="30" customHeight="1" thickBot="1" x14ac:dyDescent="0.45">
      <c r="A31" s="143"/>
      <c r="B31" s="144"/>
      <c r="C31" s="118" t="s">
        <v>64</v>
      </c>
      <c r="D31" s="2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4"/>
      <c r="AJ31" s="69">
        <f t="shared" si="0"/>
        <v>0</v>
      </c>
    </row>
    <row r="32" spans="1:36" ht="21.75" customHeight="1" x14ac:dyDescent="0.4">
      <c r="A32" s="132" t="s">
        <v>79</v>
      </c>
      <c r="B32" s="135" t="s">
        <v>2</v>
      </c>
      <c r="C32" s="106" t="s">
        <v>18</v>
      </c>
      <c r="D32" s="20">
        <v>330</v>
      </c>
      <c r="E32" s="21">
        <v>230</v>
      </c>
      <c r="F32" s="21">
        <v>230</v>
      </c>
      <c r="G32" s="21">
        <v>330</v>
      </c>
      <c r="H32" s="21">
        <v>330</v>
      </c>
      <c r="I32" s="21">
        <v>230</v>
      </c>
      <c r="J32" s="21">
        <v>230</v>
      </c>
      <c r="K32" s="21">
        <v>330</v>
      </c>
      <c r="L32" s="21">
        <v>330</v>
      </c>
      <c r="M32" s="21">
        <v>230</v>
      </c>
      <c r="N32" s="21">
        <v>230</v>
      </c>
      <c r="O32" s="21">
        <v>330</v>
      </c>
      <c r="P32" s="21">
        <v>330</v>
      </c>
      <c r="Q32" s="21">
        <v>230</v>
      </c>
      <c r="R32" s="21">
        <v>230</v>
      </c>
      <c r="S32" s="21">
        <v>330</v>
      </c>
      <c r="T32" s="21">
        <v>330</v>
      </c>
      <c r="U32" s="21">
        <v>230</v>
      </c>
      <c r="V32" s="21">
        <v>230</v>
      </c>
      <c r="W32" s="21">
        <v>330</v>
      </c>
      <c r="X32" s="21">
        <v>330</v>
      </c>
      <c r="Y32" s="21">
        <v>230</v>
      </c>
      <c r="Z32" s="21">
        <v>230</v>
      </c>
      <c r="AA32" s="21">
        <v>330</v>
      </c>
      <c r="AB32" s="21"/>
      <c r="AC32" s="21"/>
      <c r="AD32" s="21"/>
      <c r="AE32" s="21"/>
      <c r="AF32" s="21"/>
      <c r="AG32" s="21"/>
      <c r="AH32" s="21"/>
      <c r="AI32" s="22"/>
      <c r="AJ32" s="28">
        <f t="shared" si="0"/>
        <v>6720</v>
      </c>
    </row>
    <row r="33" spans="1:36" ht="21.75" customHeight="1" x14ac:dyDescent="0.4">
      <c r="A33" s="133"/>
      <c r="B33" s="136"/>
      <c r="C33" s="107" t="s">
        <v>19</v>
      </c>
      <c r="D33" s="19">
        <v>330</v>
      </c>
      <c r="E33" s="10">
        <v>230</v>
      </c>
      <c r="F33" s="10">
        <v>230</v>
      </c>
      <c r="G33" s="10">
        <v>330</v>
      </c>
      <c r="H33" s="10">
        <v>330</v>
      </c>
      <c r="I33" s="10">
        <v>230</v>
      </c>
      <c r="J33" s="10">
        <v>230</v>
      </c>
      <c r="K33" s="10">
        <v>330</v>
      </c>
      <c r="L33" s="10">
        <v>330</v>
      </c>
      <c r="M33" s="10">
        <v>230</v>
      </c>
      <c r="N33" s="10">
        <v>230</v>
      </c>
      <c r="O33" s="10">
        <v>330</v>
      </c>
      <c r="P33" s="10">
        <v>330</v>
      </c>
      <c r="Q33" s="10">
        <v>230</v>
      </c>
      <c r="R33" s="10">
        <v>230</v>
      </c>
      <c r="S33" s="10">
        <v>330</v>
      </c>
      <c r="T33" s="10">
        <v>330</v>
      </c>
      <c r="U33" s="10">
        <v>230</v>
      </c>
      <c r="V33" s="10">
        <v>230</v>
      </c>
      <c r="W33" s="10">
        <v>330</v>
      </c>
      <c r="X33" s="10">
        <v>330</v>
      </c>
      <c r="Y33" s="10">
        <v>230</v>
      </c>
      <c r="Z33" s="10">
        <v>230</v>
      </c>
      <c r="AA33" s="10">
        <v>330</v>
      </c>
      <c r="AB33" s="10"/>
      <c r="AC33" s="10"/>
      <c r="AD33" s="10"/>
      <c r="AE33" s="10"/>
      <c r="AF33" s="10"/>
      <c r="AG33" s="10"/>
      <c r="AH33" s="10"/>
      <c r="AI33" s="9"/>
      <c r="AJ33" s="6">
        <f t="shared" si="0"/>
        <v>6720</v>
      </c>
    </row>
    <row r="34" spans="1:36" ht="21.75" customHeight="1" x14ac:dyDescent="0.4">
      <c r="A34" s="133"/>
      <c r="B34" s="137"/>
      <c r="C34" s="107" t="s">
        <v>25</v>
      </c>
      <c r="D34" s="33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8"/>
      <c r="AJ34" s="6">
        <f t="shared" si="0"/>
        <v>0</v>
      </c>
    </row>
    <row r="35" spans="1:36" ht="21.75" customHeight="1" thickBot="1" x14ac:dyDescent="0.45">
      <c r="A35" s="134"/>
      <c r="B35" s="137"/>
      <c r="C35" s="108" t="s">
        <v>20</v>
      </c>
      <c r="D35" s="119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1"/>
      <c r="AJ35" s="69">
        <f t="shared" si="0"/>
        <v>0</v>
      </c>
    </row>
    <row r="36" spans="1:36" ht="21.75" customHeight="1" x14ac:dyDescent="0.4">
      <c r="A36" s="132" t="s">
        <v>80</v>
      </c>
      <c r="B36" s="137"/>
      <c r="C36" s="107" t="s">
        <v>21</v>
      </c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/>
      <c r="AJ36" s="28">
        <f t="shared" si="0"/>
        <v>0</v>
      </c>
    </row>
    <row r="37" spans="1:36" ht="21.75" customHeight="1" x14ac:dyDescent="0.4">
      <c r="A37" s="133"/>
      <c r="B37" s="137"/>
      <c r="C37" s="107" t="s">
        <v>106</v>
      </c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8"/>
      <c r="AJ37" s="6">
        <f t="shared" ref="AJ37" si="1">SUM(D37:AI37)</f>
        <v>0</v>
      </c>
    </row>
    <row r="38" spans="1:36" ht="21.75" customHeight="1" x14ac:dyDescent="0.4">
      <c r="A38" s="133"/>
      <c r="B38" s="137"/>
      <c r="C38" s="107" t="s">
        <v>22</v>
      </c>
      <c r="D38" s="3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J38" s="6">
        <f t="shared" si="0"/>
        <v>0</v>
      </c>
    </row>
    <row r="39" spans="1:36" ht="21.75" customHeight="1" x14ac:dyDescent="0.4">
      <c r="A39" s="133"/>
      <c r="B39" s="137"/>
      <c r="C39" s="107" t="s">
        <v>23</v>
      </c>
      <c r="D39" s="1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9"/>
      <c r="AJ39" s="6">
        <f t="shared" si="0"/>
        <v>0</v>
      </c>
    </row>
    <row r="40" spans="1:36" ht="21.75" customHeight="1" thickBot="1" x14ac:dyDescent="0.45">
      <c r="A40" s="134"/>
      <c r="B40" s="137"/>
      <c r="C40" s="108" t="s">
        <v>24</v>
      </c>
      <c r="D40" s="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4"/>
      <c r="AJ40" s="6">
        <f t="shared" si="0"/>
        <v>0</v>
      </c>
    </row>
    <row r="41" spans="1:36" ht="21.75" customHeight="1" x14ac:dyDescent="0.4">
      <c r="A41" s="188" t="s">
        <v>112</v>
      </c>
      <c r="B41" s="191" t="s">
        <v>11</v>
      </c>
      <c r="C41" s="107" t="s">
        <v>7</v>
      </c>
      <c r="D41" s="74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6"/>
      <c r="AJ41" s="6">
        <f t="shared" ref="AJ41:AJ52" si="2">SUM(D41:AI41)</f>
        <v>0</v>
      </c>
    </row>
    <row r="42" spans="1:36" ht="21.75" customHeight="1" x14ac:dyDescent="0.4">
      <c r="A42" s="189"/>
      <c r="B42" s="192"/>
      <c r="C42" s="114" t="s">
        <v>8</v>
      </c>
      <c r="D42" s="3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"/>
      <c r="AJ42" s="6">
        <f t="shared" si="2"/>
        <v>0</v>
      </c>
    </row>
    <row r="43" spans="1:36" ht="21.75" customHeight="1" x14ac:dyDescent="0.4">
      <c r="A43" s="189"/>
      <c r="B43" s="193"/>
      <c r="C43" s="114" t="s">
        <v>6</v>
      </c>
      <c r="D43" s="3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"/>
      <c r="AJ43" s="6">
        <f t="shared" si="2"/>
        <v>0</v>
      </c>
    </row>
    <row r="44" spans="1:36" ht="30.6" thickBot="1" x14ac:dyDescent="0.45">
      <c r="A44" s="189"/>
      <c r="B44" s="194"/>
      <c r="C44" s="115" t="s">
        <v>9</v>
      </c>
      <c r="D44" s="2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4"/>
      <c r="AJ44" s="69">
        <f t="shared" si="2"/>
        <v>0</v>
      </c>
    </row>
    <row r="45" spans="1:36" ht="21.75" customHeight="1" x14ac:dyDescent="0.4">
      <c r="A45" s="189"/>
      <c r="B45" s="135" t="s">
        <v>12</v>
      </c>
      <c r="C45" s="107" t="s">
        <v>7</v>
      </c>
      <c r="D45" s="195">
        <v>2</v>
      </c>
      <c r="E45" s="196">
        <v>1</v>
      </c>
      <c r="F45" s="196">
        <v>2</v>
      </c>
      <c r="G45" s="196">
        <v>2</v>
      </c>
      <c r="H45" s="196"/>
      <c r="I45" s="196"/>
      <c r="J45" s="196">
        <v>2</v>
      </c>
      <c r="K45" s="196">
        <v>1</v>
      </c>
      <c r="L45" s="196"/>
      <c r="M45" s="196">
        <v>3</v>
      </c>
      <c r="N45" s="196">
        <v>2</v>
      </c>
      <c r="O45" s="196"/>
      <c r="P45" s="196">
        <v>2</v>
      </c>
      <c r="Q45" s="196">
        <v>1</v>
      </c>
      <c r="R45" s="196">
        <v>2</v>
      </c>
      <c r="S45" s="196">
        <v>2</v>
      </c>
      <c r="T45" s="196"/>
      <c r="U45" s="196">
        <v>3</v>
      </c>
      <c r="V45" s="196">
        <v>4</v>
      </c>
      <c r="W45" s="196"/>
      <c r="X45" s="196"/>
      <c r="Y45" s="196">
        <v>1</v>
      </c>
      <c r="Z45" s="196">
        <v>2</v>
      </c>
      <c r="AA45" s="196"/>
      <c r="AB45" s="196"/>
      <c r="AC45" s="196"/>
      <c r="AD45" s="196"/>
      <c r="AE45" s="196"/>
      <c r="AF45" s="196"/>
      <c r="AG45" s="196"/>
      <c r="AH45" s="196"/>
      <c r="AI45" s="197"/>
      <c r="AJ45" s="28">
        <f t="shared" si="2"/>
        <v>32</v>
      </c>
    </row>
    <row r="46" spans="1:36" ht="21.75" customHeight="1" x14ac:dyDescent="0.4">
      <c r="A46" s="189"/>
      <c r="B46" s="135"/>
      <c r="C46" s="114" t="s">
        <v>8</v>
      </c>
      <c r="D46" s="195">
        <f>7+6+4</f>
        <v>17</v>
      </c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9"/>
      <c r="AJ46" s="6">
        <f t="shared" si="2"/>
        <v>17</v>
      </c>
    </row>
    <row r="47" spans="1:36" ht="21.75" customHeight="1" x14ac:dyDescent="0.4">
      <c r="A47" s="189"/>
      <c r="B47" s="136"/>
      <c r="C47" s="114" t="s">
        <v>6</v>
      </c>
      <c r="D47" s="195">
        <f>7+6+4</f>
        <v>17</v>
      </c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9"/>
      <c r="AJ47" s="6">
        <f t="shared" si="2"/>
        <v>17</v>
      </c>
    </row>
    <row r="48" spans="1:36" ht="30.6" thickBot="1" x14ac:dyDescent="0.45">
      <c r="A48" s="189"/>
      <c r="B48" s="144"/>
      <c r="C48" s="115" t="s">
        <v>10</v>
      </c>
      <c r="D48" s="200">
        <f>7+6</f>
        <v>13</v>
      </c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2"/>
      <c r="AJ48" s="69">
        <f t="shared" si="2"/>
        <v>13</v>
      </c>
    </row>
    <row r="49" spans="1:36" ht="21.75" customHeight="1" x14ac:dyDescent="0.4">
      <c r="A49" s="189"/>
      <c r="B49" s="135" t="s">
        <v>13</v>
      </c>
      <c r="C49" s="107" t="s">
        <v>7</v>
      </c>
      <c r="D49" s="19">
        <v>2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9"/>
      <c r="AJ49" s="28">
        <f t="shared" si="2"/>
        <v>2</v>
      </c>
    </row>
    <row r="50" spans="1:36" ht="21.75" customHeight="1" x14ac:dyDescent="0.4">
      <c r="A50" s="189"/>
      <c r="B50" s="135"/>
      <c r="C50" s="114" t="s">
        <v>8</v>
      </c>
      <c r="D50" s="19">
        <v>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32"/>
      <c r="AJ50" s="6">
        <f t="shared" si="2"/>
        <v>2</v>
      </c>
    </row>
    <row r="51" spans="1:36" ht="21.75" customHeight="1" x14ac:dyDescent="0.4">
      <c r="A51" s="189"/>
      <c r="B51" s="136"/>
      <c r="C51" s="114" t="s">
        <v>6</v>
      </c>
      <c r="D51" s="19">
        <v>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32"/>
      <c r="AJ51" s="6">
        <f t="shared" si="2"/>
        <v>2</v>
      </c>
    </row>
    <row r="52" spans="1:36" ht="30.6" thickBot="1" x14ac:dyDescent="0.45">
      <c r="A52" s="190"/>
      <c r="B52" s="144"/>
      <c r="C52" s="115" t="s">
        <v>14</v>
      </c>
      <c r="D52" s="23">
        <v>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4"/>
      <c r="AJ52" s="69">
        <f t="shared" si="2"/>
        <v>2</v>
      </c>
    </row>
    <row r="57" spans="1:36" x14ac:dyDescent="0.4">
      <c r="I57" s="24"/>
      <c r="W57" s="24"/>
      <c r="AE57" s="24"/>
    </row>
    <row r="58" spans="1:36" x14ac:dyDescent="0.4">
      <c r="I58" s="24"/>
      <c r="W58" s="24"/>
      <c r="AE58" s="24"/>
    </row>
    <row r="59" spans="1:36" x14ac:dyDescent="0.4">
      <c r="I59" s="24"/>
      <c r="W59" s="24"/>
      <c r="AE59" s="24"/>
    </row>
    <row r="60" spans="1:36" ht="21.6" thickBot="1" x14ac:dyDescent="0.45"/>
    <row r="61" spans="1:36" ht="18.600000000000001" thickBot="1" x14ac:dyDescent="0.35">
      <c r="I61" s="138" t="s">
        <v>66</v>
      </c>
      <c r="J61" s="139"/>
      <c r="K61" s="139"/>
      <c r="L61" s="140"/>
      <c r="M61" s="138" t="s">
        <v>67</v>
      </c>
      <c r="N61" s="139"/>
      <c r="O61" s="139"/>
      <c r="P61" s="140"/>
      <c r="Q61" s="138" t="s">
        <v>68</v>
      </c>
      <c r="R61" s="139"/>
      <c r="S61" s="139"/>
      <c r="T61" s="140"/>
      <c r="U61" s="138" t="s">
        <v>69</v>
      </c>
      <c r="V61" s="139"/>
      <c r="W61" s="139"/>
      <c r="X61" s="140"/>
      <c r="Y61" s="138" t="s">
        <v>70</v>
      </c>
      <c r="Z61" s="139"/>
      <c r="AA61" s="139"/>
      <c r="AB61" s="140"/>
      <c r="AC61" s="138" t="s">
        <v>71</v>
      </c>
      <c r="AD61" s="139"/>
      <c r="AE61" s="139"/>
      <c r="AF61" s="140"/>
      <c r="AG61" s="138" t="s">
        <v>72</v>
      </c>
      <c r="AH61" s="139"/>
      <c r="AI61" s="139"/>
      <c r="AJ61" s="139"/>
    </row>
  </sheetData>
  <mergeCells count="33">
    <mergeCell ref="A41:A52"/>
    <mergeCell ref="B41:B44"/>
    <mergeCell ref="B45:B48"/>
    <mergeCell ref="B49:B52"/>
    <mergeCell ref="X6:AA6"/>
    <mergeCell ref="B3:C3"/>
    <mergeCell ref="D5:AI5"/>
    <mergeCell ref="D6:G6"/>
    <mergeCell ref="H6:K6"/>
    <mergeCell ref="L6:O6"/>
    <mergeCell ref="P6:S6"/>
    <mergeCell ref="T6:W6"/>
    <mergeCell ref="A8:A19"/>
    <mergeCell ref="B8:B11"/>
    <mergeCell ref="B12:B15"/>
    <mergeCell ref="B16:B19"/>
    <mergeCell ref="B20:B25"/>
    <mergeCell ref="A1:AJ1"/>
    <mergeCell ref="A32:A35"/>
    <mergeCell ref="B32:B40"/>
    <mergeCell ref="A36:A40"/>
    <mergeCell ref="I61:L61"/>
    <mergeCell ref="M61:P61"/>
    <mergeCell ref="Q61:T61"/>
    <mergeCell ref="U61:X61"/>
    <mergeCell ref="Y61:AB61"/>
    <mergeCell ref="AC61:AF61"/>
    <mergeCell ref="A20:A31"/>
    <mergeCell ref="B26:B29"/>
    <mergeCell ref="B30:B31"/>
    <mergeCell ref="AG61:AJ61"/>
    <mergeCell ref="AB6:AI6"/>
    <mergeCell ref="AJ5:AJ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3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2B76-8EEA-4501-A9BE-CE4F50AAD28C}">
  <sheetPr>
    <pageSetUpPr fitToPage="1"/>
  </sheetPr>
  <dimension ref="A1:AU63"/>
  <sheetViews>
    <sheetView tabSelected="1" view="pageBreakPreview" zoomScale="55" zoomScaleNormal="40" zoomScaleSheetLayoutView="55" workbookViewId="0">
      <pane xSplit="2" ySplit="5" topLeftCell="C29" activePane="bottomRight" state="frozen"/>
      <selection pane="topRight" activeCell="C1" sqref="C1"/>
      <selection pane="bottomLeft" activeCell="A6" sqref="A6"/>
      <selection pane="bottomRight" activeCell="A39" sqref="A39:S46"/>
    </sheetView>
  </sheetViews>
  <sheetFormatPr baseColWidth="10" defaultColWidth="10.77734375" defaultRowHeight="21" x14ac:dyDescent="0.4"/>
  <cols>
    <col min="1" max="1" width="6.21875" customWidth="1"/>
    <col min="2" max="2" width="17.33203125" style="3" customWidth="1"/>
    <col min="3" max="4" width="25.33203125" style="2" customWidth="1"/>
    <col min="5" max="10" width="25.77734375" style="1" customWidth="1"/>
    <col min="11" max="11" width="21.88671875" style="1" customWidth="1"/>
    <col min="12" max="12" width="16.5546875" style="1" customWidth="1"/>
    <col min="13" max="13" width="21.88671875" style="1" customWidth="1"/>
    <col min="14" max="14" width="3.33203125" customWidth="1"/>
    <col min="15" max="15" width="33.6640625" style="1" hidden="1" customWidth="1"/>
    <col min="16" max="16" width="10.77734375" hidden="1" customWidth="1"/>
    <col min="17" max="17" width="0" hidden="1" customWidth="1"/>
    <col min="18" max="18" width="26.6640625" customWidth="1"/>
    <col min="19" max="19" width="25.21875" customWidth="1"/>
    <col min="20" max="20" width="26.5546875" customWidth="1"/>
    <col min="21" max="21" width="14.44140625" customWidth="1"/>
  </cols>
  <sheetData>
    <row r="1" spans="1:47" s="30" customFormat="1" ht="54.6" customHeight="1" x14ac:dyDescent="0.3">
      <c r="A1" s="148" t="s">
        <v>93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9"/>
      <c r="O1" s="79"/>
      <c r="P1" s="79"/>
      <c r="Q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</row>
    <row r="2" spans="1:47" s="80" customFormat="1" ht="30.6" customHeight="1" x14ac:dyDescent="0.3">
      <c r="A2" s="82" t="s">
        <v>113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1"/>
      <c r="Q2" s="81"/>
      <c r="R2" s="30"/>
      <c r="S2" s="30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34"/>
      <c r="AU2" s="34"/>
    </row>
    <row r="3" spans="1:47" s="30" customFormat="1" x14ac:dyDescent="0.3">
      <c r="B3" s="149"/>
      <c r="C3" s="149"/>
      <c r="D3" s="67"/>
    </row>
    <row r="4" spans="1:47" ht="21.6" thickBot="1" x14ac:dyDescent="0.45"/>
    <row r="5" spans="1:47" s="13" customFormat="1" ht="42.6" customHeight="1" thickBot="1" x14ac:dyDescent="0.5">
      <c r="B5" s="66" t="s">
        <v>89</v>
      </c>
      <c r="C5" s="66" t="s">
        <v>88</v>
      </c>
      <c r="D5" s="88" t="s">
        <v>99</v>
      </c>
      <c r="E5" s="85" t="s">
        <v>94</v>
      </c>
      <c r="F5" s="85" t="s">
        <v>95</v>
      </c>
      <c r="G5" s="85" t="s">
        <v>96</v>
      </c>
      <c r="H5" s="85" t="s">
        <v>97</v>
      </c>
      <c r="I5" s="85" t="s">
        <v>98</v>
      </c>
      <c r="J5" s="126" t="s">
        <v>109</v>
      </c>
      <c r="K5" s="110" t="s">
        <v>26</v>
      </c>
      <c r="L5" s="110" t="s">
        <v>100</v>
      </c>
      <c r="M5" s="110" t="s">
        <v>101</v>
      </c>
      <c r="N5" s="111"/>
      <c r="O5" s="85" t="s">
        <v>92</v>
      </c>
      <c r="R5" s="15"/>
      <c r="S5" s="15"/>
    </row>
    <row r="6" spans="1:47" ht="21.75" customHeight="1" x14ac:dyDescent="0.4">
      <c r="A6" s="145" t="s">
        <v>73</v>
      </c>
      <c r="B6" s="135" t="s">
        <v>11</v>
      </c>
      <c r="C6" s="106" t="s">
        <v>7</v>
      </c>
      <c r="D6" s="89">
        <v>0.5</v>
      </c>
      <c r="E6" s="86">
        <f>+'A1'!AJ8</f>
        <v>24</v>
      </c>
      <c r="F6" s="86">
        <f>+'A2'!AJ8</f>
        <v>23</v>
      </c>
      <c r="G6" s="86">
        <v>0</v>
      </c>
      <c r="H6" s="86">
        <f>+'A4'!AF8</f>
        <v>0</v>
      </c>
      <c r="I6" s="86">
        <f>+'A5'!AJ8</f>
        <v>0</v>
      </c>
      <c r="J6" s="86">
        <f>+'A5'!AK8</f>
        <v>0</v>
      </c>
      <c r="K6" s="28">
        <f>SUM(E6:J6)</f>
        <v>47</v>
      </c>
      <c r="L6" s="184">
        <v>150</v>
      </c>
      <c r="M6" s="86">
        <f>+L$6*K6*D6</f>
        <v>3525</v>
      </c>
      <c r="O6" s="181">
        <v>125</v>
      </c>
      <c r="R6" s="13"/>
      <c r="S6" s="13"/>
      <c r="X6" s="86">
        <f>+'A3'!BI8</f>
        <v>0</v>
      </c>
      <c r="Z6" s="86">
        <f>+'A1'!BD8</f>
        <v>0</v>
      </c>
      <c r="AA6" s="86">
        <f>+'A2'!BD8</f>
        <v>0</v>
      </c>
      <c r="AB6" s="86"/>
      <c r="AC6" s="86">
        <f>+'A4'!AZ8</f>
        <v>0</v>
      </c>
      <c r="AD6" s="86">
        <f>+'A5'!BD8</f>
        <v>0</v>
      </c>
    </row>
    <row r="7" spans="1:47" ht="21.75" customHeight="1" x14ac:dyDescent="0.4">
      <c r="A7" s="146"/>
      <c r="B7" s="135"/>
      <c r="C7" s="114" t="s">
        <v>8</v>
      </c>
      <c r="D7" s="90">
        <v>0.2</v>
      </c>
      <c r="E7" s="87">
        <f>+'A1'!AJ9</f>
        <v>0</v>
      </c>
      <c r="F7" s="87">
        <f>+'A2'!AJ9</f>
        <v>24</v>
      </c>
      <c r="G7" s="87">
        <v>0</v>
      </c>
      <c r="H7" s="87">
        <f>+'A4'!AF9</f>
        <v>0</v>
      </c>
      <c r="I7" s="87">
        <f>+'A5'!AJ9</f>
        <v>0</v>
      </c>
      <c r="J7" s="87">
        <f>+'A5'!AK9</f>
        <v>0</v>
      </c>
      <c r="K7" s="6">
        <f t="shared" ref="K7:K38" si="0">SUM(E7:J7)</f>
        <v>24</v>
      </c>
      <c r="L7" s="185"/>
      <c r="M7" s="101">
        <f>+L$6*K7*D7</f>
        <v>720</v>
      </c>
      <c r="O7" s="182"/>
      <c r="R7" s="13"/>
      <c r="S7" s="13"/>
      <c r="X7" s="87">
        <f>+'A3'!BI9</f>
        <v>0</v>
      </c>
      <c r="Z7" s="87">
        <f>+'A1'!BD9</f>
        <v>0</v>
      </c>
      <c r="AA7" s="87">
        <f>+'A2'!BD9</f>
        <v>0</v>
      </c>
      <c r="AB7" s="87"/>
      <c r="AC7" s="87">
        <f>+'A4'!AZ9</f>
        <v>0</v>
      </c>
      <c r="AD7" s="87">
        <f>+'A5'!BD9</f>
        <v>0</v>
      </c>
    </row>
    <row r="8" spans="1:47" ht="21.75" customHeight="1" x14ac:dyDescent="0.4">
      <c r="A8" s="146"/>
      <c r="B8" s="136"/>
      <c r="C8" s="114" t="s">
        <v>6</v>
      </c>
      <c r="D8" s="90">
        <v>0.15</v>
      </c>
      <c r="E8" s="87">
        <f>+'A1'!AJ10</f>
        <v>0</v>
      </c>
      <c r="F8" s="87">
        <f>+'A2'!AJ10</f>
        <v>24</v>
      </c>
      <c r="G8" s="87">
        <v>0</v>
      </c>
      <c r="H8" s="87">
        <f>+'A4'!AF10</f>
        <v>0</v>
      </c>
      <c r="I8" s="87">
        <f>+'A5'!AJ10</f>
        <v>0</v>
      </c>
      <c r="J8" s="87">
        <f>+'A5'!AK10</f>
        <v>0</v>
      </c>
      <c r="K8" s="6">
        <f t="shared" si="0"/>
        <v>24</v>
      </c>
      <c r="L8" s="185"/>
      <c r="M8" s="101">
        <f>+L$6*K8*D8</f>
        <v>540</v>
      </c>
      <c r="O8" s="182"/>
      <c r="R8" s="179" t="str">
        <f>+A6</f>
        <v>POSEUR ZOUHAIR</v>
      </c>
      <c r="S8" s="180"/>
      <c r="X8" s="87">
        <f>+'A3'!BI10</f>
        <v>0</v>
      </c>
      <c r="Z8" s="87">
        <f>+'A1'!BD10</f>
        <v>0</v>
      </c>
      <c r="AA8" s="87">
        <f>+'A2'!BD10</f>
        <v>0</v>
      </c>
      <c r="AB8" s="87"/>
      <c r="AC8" s="87">
        <f>+'A4'!AZ10</f>
        <v>0</v>
      </c>
      <c r="AD8" s="87">
        <f>+'A5'!BD10</f>
        <v>0</v>
      </c>
    </row>
    <row r="9" spans="1:47" ht="30.6" thickBot="1" x14ac:dyDescent="0.45">
      <c r="A9" s="146"/>
      <c r="B9" s="144"/>
      <c r="C9" s="115" t="s">
        <v>9</v>
      </c>
      <c r="D9" s="91">
        <v>0.15</v>
      </c>
      <c r="E9" s="29">
        <f>+'A1'!AJ11</f>
        <v>0</v>
      </c>
      <c r="F9" s="29">
        <f>+'A2'!AJ11</f>
        <v>23</v>
      </c>
      <c r="G9" s="29">
        <v>0</v>
      </c>
      <c r="H9" s="29">
        <f>+'A4'!AF11</f>
        <v>0</v>
      </c>
      <c r="I9" s="29">
        <f>+'A5'!AJ11</f>
        <v>0</v>
      </c>
      <c r="J9" s="29">
        <f>+'A5'!AK11</f>
        <v>0</v>
      </c>
      <c r="K9" s="29">
        <f t="shared" si="0"/>
        <v>23</v>
      </c>
      <c r="L9" s="186"/>
      <c r="M9" s="102">
        <f>+L$6*K9*D9</f>
        <v>517.5</v>
      </c>
      <c r="O9" s="183"/>
      <c r="R9" s="104" t="s">
        <v>102</v>
      </c>
      <c r="S9" s="103">
        <f>9000+3000+5000+4000+5000+2000</f>
        <v>28000</v>
      </c>
      <c r="X9" s="29">
        <f>+'A3'!BI11</f>
        <v>0</v>
      </c>
      <c r="Z9" s="29">
        <f>+'A1'!BD11</f>
        <v>0</v>
      </c>
      <c r="AA9" s="29">
        <f>+'A2'!BD11</f>
        <v>0</v>
      </c>
      <c r="AB9" s="29"/>
      <c r="AC9" s="29">
        <f>+'A4'!AZ11</f>
        <v>0</v>
      </c>
      <c r="AD9" s="29">
        <f>+'A5'!BD11</f>
        <v>0</v>
      </c>
    </row>
    <row r="10" spans="1:47" ht="21.75" customHeight="1" x14ac:dyDescent="0.4">
      <c r="A10" s="146"/>
      <c r="B10" s="135" t="s">
        <v>12</v>
      </c>
      <c r="C10" s="107" t="s">
        <v>7</v>
      </c>
      <c r="D10" s="89">
        <v>0.5</v>
      </c>
      <c r="E10" s="86">
        <f>+'A1'!AJ12</f>
        <v>123</v>
      </c>
      <c r="F10" s="86">
        <f>+'A2'!AJ12</f>
        <v>167</v>
      </c>
      <c r="G10" s="86">
        <v>0</v>
      </c>
      <c r="H10" s="86">
        <f>+'A4'!AF12</f>
        <v>11</v>
      </c>
      <c r="I10" s="86">
        <f>+'A5'!AJ12</f>
        <v>0</v>
      </c>
      <c r="J10" s="86">
        <v>9</v>
      </c>
      <c r="K10" s="28">
        <f t="shared" si="0"/>
        <v>310</v>
      </c>
      <c r="L10" s="184">
        <v>120</v>
      </c>
      <c r="M10" s="86">
        <f>+L$10*K10*D10</f>
        <v>18600</v>
      </c>
      <c r="O10" s="181">
        <v>789</v>
      </c>
      <c r="R10" s="104" t="s">
        <v>103</v>
      </c>
      <c r="S10" s="103">
        <f>SUM(M6:M17)-((D10*E10*L10)+(D11*E11*L10)+(D12*E12*L10)+(D13*E13*L10)+(D6*E6*L6)+(D7*E7*L6)+(D8*E8*L6)+(D9*E9*L6))</f>
        <v>32944.5</v>
      </c>
      <c r="T10" s="123" t="s">
        <v>107</v>
      </c>
      <c r="U10" s="103">
        <f>+S10*10%</f>
        <v>3294.4500000000003</v>
      </c>
      <c r="X10" s="86">
        <f>+'A3'!BI12</f>
        <v>0</v>
      </c>
      <c r="Z10" s="86">
        <f>+'A1'!BD12</f>
        <v>0</v>
      </c>
      <c r="AA10" s="86">
        <f>+'A2'!BD12</f>
        <v>0</v>
      </c>
      <c r="AB10" s="86"/>
      <c r="AC10" s="86">
        <f>+'A4'!AZ12</f>
        <v>0</v>
      </c>
      <c r="AD10" s="86">
        <f>+'A5'!BD12</f>
        <v>0</v>
      </c>
    </row>
    <row r="11" spans="1:47" ht="21.75" customHeight="1" x14ac:dyDescent="0.4">
      <c r="A11" s="146"/>
      <c r="B11" s="135"/>
      <c r="C11" s="114" t="s">
        <v>8</v>
      </c>
      <c r="D11" s="90">
        <v>0.2</v>
      </c>
      <c r="E11" s="87">
        <f>+'A1'!AJ13</f>
        <v>0</v>
      </c>
      <c r="F11" s="87">
        <f>+'A2'!AJ13</f>
        <v>167</v>
      </c>
      <c r="G11" s="87">
        <v>0</v>
      </c>
      <c r="H11" s="87">
        <f>+'A4'!AF13</f>
        <v>0</v>
      </c>
      <c r="I11" s="87">
        <f>+'A5'!AJ13</f>
        <v>0</v>
      </c>
      <c r="J11" s="87">
        <f>+'A5'!AK13</f>
        <v>0</v>
      </c>
      <c r="K11" s="6">
        <f t="shared" si="0"/>
        <v>167</v>
      </c>
      <c r="L11" s="185"/>
      <c r="M11" s="101">
        <f>+L$10*K11*D11</f>
        <v>4008</v>
      </c>
      <c r="O11" s="182"/>
      <c r="T11" s="123" t="s">
        <v>110</v>
      </c>
      <c r="U11" s="125">
        <f>S12-U10</f>
        <v>1650.0499999999997</v>
      </c>
      <c r="X11" s="87">
        <f>+'A3'!BI13</f>
        <v>0</v>
      </c>
      <c r="Z11" s="87">
        <f>+'A1'!BD13</f>
        <v>0</v>
      </c>
      <c r="AA11" s="87">
        <f>+'A2'!BD13</f>
        <v>0</v>
      </c>
      <c r="AB11" s="87"/>
      <c r="AC11" s="87">
        <f>+'A4'!AZ13</f>
        <v>0</v>
      </c>
      <c r="AD11" s="87">
        <f>+'A5'!BD13</f>
        <v>0</v>
      </c>
    </row>
    <row r="12" spans="1:47" ht="21.75" customHeight="1" x14ac:dyDescent="0.4">
      <c r="A12" s="146"/>
      <c r="B12" s="136"/>
      <c r="C12" s="114" t="s">
        <v>6</v>
      </c>
      <c r="D12" s="90">
        <v>0.15</v>
      </c>
      <c r="E12" s="87">
        <f>+'A1'!AJ14</f>
        <v>0</v>
      </c>
      <c r="F12" s="87">
        <f>+'A2'!AJ14</f>
        <v>167</v>
      </c>
      <c r="G12" s="87">
        <v>0</v>
      </c>
      <c r="H12" s="87">
        <f>+'A4'!AF14</f>
        <v>0</v>
      </c>
      <c r="I12" s="87">
        <f>+'A5'!AJ14</f>
        <v>0</v>
      </c>
      <c r="J12" s="87">
        <v>9</v>
      </c>
      <c r="K12" s="6">
        <f t="shared" si="0"/>
        <v>176</v>
      </c>
      <c r="L12" s="185"/>
      <c r="M12" s="101">
        <f>+L$10*K12*D12</f>
        <v>3168</v>
      </c>
      <c r="O12" s="182"/>
      <c r="R12" s="104" t="s">
        <v>104</v>
      </c>
      <c r="S12" s="103">
        <f>+S10-S9</f>
        <v>4944.5</v>
      </c>
      <c r="T12" s="124"/>
      <c r="X12" s="87">
        <f>+'A3'!BI14</f>
        <v>0</v>
      </c>
      <c r="Z12" s="87">
        <f>+'A1'!BD14</f>
        <v>0</v>
      </c>
      <c r="AA12" s="87">
        <f>+'A2'!BD14</f>
        <v>0</v>
      </c>
      <c r="AB12" s="87"/>
      <c r="AC12" s="87">
        <f>+'A4'!AZ14</f>
        <v>0</v>
      </c>
      <c r="AD12" s="87">
        <f>+'A5'!BD14</f>
        <v>0</v>
      </c>
    </row>
    <row r="13" spans="1:47" ht="30.6" thickBot="1" x14ac:dyDescent="0.45">
      <c r="A13" s="146"/>
      <c r="B13" s="144"/>
      <c r="C13" s="115" t="s">
        <v>10</v>
      </c>
      <c r="D13" s="91">
        <v>0.15</v>
      </c>
      <c r="E13" s="29">
        <f>+'A1'!AJ15</f>
        <v>0</v>
      </c>
      <c r="F13" s="29">
        <f>+'A2'!AJ15</f>
        <v>167</v>
      </c>
      <c r="G13" s="29">
        <v>0</v>
      </c>
      <c r="H13" s="29">
        <f>+'A4'!AF15</f>
        <v>0</v>
      </c>
      <c r="I13" s="29">
        <f>+'A5'!AJ15</f>
        <v>0</v>
      </c>
      <c r="J13" s="29">
        <f>+'A5'!AK15</f>
        <v>0</v>
      </c>
      <c r="K13" s="29">
        <f t="shared" si="0"/>
        <v>167</v>
      </c>
      <c r="L13" s="186"/>
      <c r="M13" s="102">
        <f>+L$10*K13*D13</f>
        <v>3006</v>
      </c>
      <c r="O13" s="182"/>
      <c r="T13" s="124"/>
      <c r="X13" s="29">
        <f>+'A3'!BI15</f>
        <v>0</v>
      </c>
      <c r="Z13" s="29">
        <f>+'A1'!BD15</f>
        <v>0</v>
      </c>
      <c r="AA13" s="29">
        <f>+'A2'!BD15</f>
        <v>0</v>
      </c>
      <c r="AB13" s="29"/>
      <c r="AC13" s="29">
        <f>+'A4'!AZ15</f>
        <v>0</v>
      </c>
      <c r="AD13" s="29">
        <f>+'A5'!BD15</f>
        <v>0</v>
      </c>
    </row>
    <row r="14" spans="1:47" ht="21.75" customHeight="1" x14ac:dyDescent="0.4">
      <c r="A14" s="146"/>
      <c r="B14" s="135" t="s">
        <v>13</v>
      </c>
      <c r="C14" s="107" t="s">
        <v>7</v>
      </c>
      <c r="D14" s="89">
        <v>0.5</v>
      </c>
      <c r="E14" s="86">
        <f>+'A1'!AJ16</f>
        <v>12</v>
      </c>
      <c r="F14" s="86">
        <f>+'A2'!AJ16</f>
        <v>10</v>
      </c>
      <c r="G14" s="86">
        <f>'A3'!AS16</f>
        <v>12</v>
      </c>
      <c r="H14" s="86">
        <f>+'A4'!AF16</f>
        <v>13</v>
      </c>
      <c r="I14" s="86">
        <f>+'A5'!AJ16</f>
        <v>9</v>
      </c>
      <c r="J14" s="86">
        <f>+'A5'!AK16</f>
        <v>0</v>
      </c>
      <c r="K14" s="28">
        <f t="shared" si="0"/>
        <v>56</v>
      </c>
      <c r="L14" s="184">
        <v>150</v>
      </c>
      <c r="M14" s="28">
        <f>+L$14*K14*D14</f>
        <v>4200</v>
      </c>
      <c r="O14" s="181">
        <v>115</v>
      </c>
      <c r="T14" s="124"/>
      <c r="X14" s="86">
        <f>+'A3'!BI16</f>
        <v>0</v>
      </c>
      <c r="Z14" s="86">
        <f>+'A1'!BD16</f>
        <v>0</v>
      </c>
      <c r="AA14" s="86">
        <f>+'A2'!BD16</f>
        <v>0</v>
      </c>
      <c r="AB14" s="86"/>
      <c r="AC14" s="86">
        <f>+'A4'!AZ16</f>
        <v>0</v>
      </c>
      <c r="AD14" s="86">
        <f>+'A5'!BD16</f>
        <v>0</v>
      </c>
    </row>
    <row r="15" spans="1:47" ht="21.75" customHeight="1" x14ac:dyDescent="0.4">
      <c r="A15" s="146"/>
      <c r="B15" s="135"/>
      <c r="C15" s="114" t="s">
        <v>8</v>
      </c>
      <c r="D15" s="90">
        <v>0.2</v>
      </c>
      <c r="E15" s="87">
        <f>+'A1'!AJ17</f>
        <v>12</v>
      </c>
      <c r="F15" s="87">
        <f>+'A2'!AJ17</f>
        <v>10</v>
      </c>
      <c r="G15" s="87">
        <f>'A3'!AS17</f>
        <v>0</v>
      </c>
      <c r="H15" s="87">
        <f>+'A4'!AF17</f>
        <v>13</v>
      </c>
      <c r="I15" s="87">
        <f>+'A5'!AJ17</f>
        <v>9</v>
      </c>
      <c r="J15" s="87">
        <f>+'A5'!AK17</f>
        <v>0</v>
      </c>
      <c r="K15" s="6">
        <f t="shared" si="0"/>
        <v>44</v>
      </c>
      <c r="L15" s="185"/>
      <c r="M15" s="6">
        <f>+L$14*K15*D15</f>
        <v>1320</v>
      </c>
      <c r="O15" s="182"/>
      <c r="T15" s="124"/>
      <c r="X15" s="87">
        <f>+'A3'!BI17</f>
        <v>0</v>
      </c>
      <c r="Z15" s="87">
        <f>+'A1'!BD17</f>
        <v>0</v>
      </c>
      <c r="AA15" s="87">
        <f>+'A2'!BD17</f>
        <v>0</v>
      </c>
      <c r="AB15" s="87"/>
      <c r="AC15" s="87">
        <f>+'A4'!AZ17</f>
        <v>0</v>
      </c>
      <c r="AD15" s="87">
        <f>+'A5'!BD17</f>
        <v>0</v>
      </c>
    </row>
    <row r="16" spans="1:47" ht="21.75" customHeight="1" x14ac:dyDescent="0.4">
      <c r="A16" s="146"/>
      <c r="B16" s="136"/>
      <c r="C16" s="114" t="s">
        <v>6</v>
      </c>
      <c r="D16" s="90">
        <v>0.15</v>
      </c>
      <c r="E16" s="87">
        <f>+'A1'!AJ18</f>
        <v>12</v>
      </c>
      <c r="F16" s="87">
        <f>+'A2'!AJ18</f>
        <v>10</v>
      </c>
      <c r="G16" s="87">
        <f>'A3'!AS18</f>
        <v>12</v>
      </c>
      <c r="H16" s="87">
        <f>+'A4'!AF18</f>
        <v>13</v>
      </c>
      <c r="I16" s="87">
        <f>+'A5'!AJ18</f>
        <v>9</v>
      </c>
      <c r="J16" s="87">
        <f>+'A5'!AK18</f>
        <v>0</v>
      </c>
      <c r="K16" s="6">
        <f t="shared" si="0"/>
        <v>56</v>
      </c>
      <c r="L16" s="185"/>
      <c r="M16" s="6">
        <f>+L$14*K16*D16</f>
        <v>1260</v>
      </c>
      <c r="O16" s="182"/>
      <c r="T16" s="124"/>
      <c r="X16" s="87">
        <f>+'A3'!BI18</f>
        <v>0</v>
      </c>
      <c r="Z16" s="87">
        <f>+'A1'!BD18</f>
        <v>0</v>
      </c>
      <c r="AA16" s="87">
        <f>+'A2'!BD18</f>
        <v>0</v>
      </c>
      <c r="AB16" s="87"/>
      <c r="AC16" s="87">
        <f>+'A4'!AZ18</f>
        <v>0</v>
      </c>
      <c r="AD16" s="87">
        <f>+'A5'!BD18</f>
        <v>0</v>
      </c>
    </row>
    <row r="17" spans="1:30" ht="30.6" thickBot="1" x14ac:dyDescent="0.45">
      <c r="A17" s="147"/>
      <c r="B17" s="144"/>
      <c r="C17" s="115" t="s">
        <v>14</v>
      </c>
      <c r="D17" s="91">
        <v>0.15</v>
      </c>
      <c r="E17" s="29">
        <f>+'A1'!AJ19</f>
        <v>12</v>
      </c>
      <c r="F17" s="29">
        <f>+'A2'!AJ19</f>
        <v>10</v>
      </c>
      <c r="G17" s="29">
        <f>'A3'!AS19</f>
        <v>12</v>
      </c>
      <c r="H17" s="29">
        <f>+'A4'!AF19</f>
        <v>13</v>
      </c>
      <c r="I17" s="29">
        <f>+'A5'!AJ19</f>
        <v>9</v>
      </c>
      <c r="J17" s="29">
        <f>+'A5'!AK19</f>
        <v>0</v>
      </c>
      <c r="K17" s="29">
        <f t="shared" si="0"/>
        <v>56</v>
      </c>
      <c r="L17" s="186"/>
      <c r="M17" s="29">
        <f>+L$14*K17*D17</f>
        <v>1260</v>
      </c>
      <c r="O17" s="183"/>
      <c r="T17" s="124"/>
      <c r="X17" s="29">
        <f>+'A3'!BI19</f>
        <v>0</v>
      </c>
      <c r="Z17" s="29">
        <f>+'A1'!BD19</f>
        <v>0</v>
      </c>
      <c r="AA17" s="29">
        <f>+'A2'!BD19</f>
        <v>0</v>
      </c>
      <c r="AB17" s="29"/>
      <c r="AC17" s="29">
        <f>+'A4'!AZ19</f>
        <v>0</v>
      </c>
      <c r="AD17" s="29">
        <f>+'A5'!BD19</f>
        <v>0</v>
      </c>
    </row>
    <row r="18" spans="1:30" ht="30" customHeight="1" x14ac:dyDescent="0.4">
      <c r="A18" s="141" t="s">
        <v>74</v>
      </c>
      <c r="B18" s="135" t="s">
        <v>61</v>
      </c>
      <c r="C18" s="116" t="s">
        <v>78</v>
      </c>
      <c r="D18" s="92">
        <v>0.4</v>
      </c>
      <c r="E18" s="86">
        <f>+'A1'!AJ20</f>
        <v>289</v>
      </c>
      <c r="F18" s="86">
        <f>+'A2'!AJ20</f>
        <v>263</v>
      </c>
      <c r="G18" s="86">
        <v>0</v>
      </c>
      <c r="H18" s="86">
        <f>+'A4'!AF20</f>
        <v>0</v>
      </c>
      <c r="I18" s="86">
        <f>+'A5'!AJ20</f>
        <v>0</v>
      </c>
      <c r="J18" s="86">
        <v>0</v>
      </c>
      <c r="K18" s="28">
        <f t="shared" si="0"/>
        <v>552</v>
      </c>
      <c r="L18" s="184">
        <v>60</v>
      </c>
      <c r="M18" s="28">
        <f t="shared" ref="M18:M23" si="1">+L$18*K18*D18</f>
        <v>13248</v>
      </c>
      <c r="N18" s="12"/>
      <c r="O18" s="181">
        <v>401</v>
      </c>
      <c r="T18" s="124"/>
      <c r="X18" s="86">
        <f>+'A3'!BI20</f>
        <v>0</v>
      </c>
      <c r="Z18" s="86">
        <f>+'A1'!BD20</f>
        <v>0</v>
      </c>
      <c r="AA18" s="86">
        <f>+'A2'!BD20</f>
        <v>0</v>
      </c>
      <c r="AB18" s="86"/>
      <c r="AC18" s="86">
        <f>+'A4'!AZ20</f>
        <v>0</v>
      </c>
      <c r="AD18" s="86">
        <f>+'A5'!BD20</f>
        <v>0</v>
      </c>
    </row>
    <row r="19" spans="1:30" ht="21.75" customHeight="1" x14ac:dyDescent="0.4">
      <c r="A19" s="142"/>
      <c r="B19" s="135"/>
      <c r="C19" s="114" t="s">
        <v>77</v>
      </c>
      <c r="D19" s="93">
        <v>0.1</v>
      </c>
      <c r="E19" s="87">
        <f>+'A1'!AJ21</f>
        <v>289</v>
      </c>
      <c r="F19" s="87">
        <f>+'A2'!AJ21</f>
        <v>263</v>
      </c>
      <c r="G19" s="87">
        <v>0</v>
      </c>
      <c r="H19" s="87">
        <f>+'A4'!AF21</f>
        <v>0</v>
      </c>
      <c r="I19" s="87">
        <f>+'A5'!AJ21</f>
        <v>0</v>
      </c>
      <c r="J19" s="87">
        <v>0</v>
      </c>
      <c r="K19" s="6">
        <f t="shared" si="0"/>
        <v>552</v>
      </c>
      <c r="L19" s="185"/>
      <c r="M19" s="6">
        <f t="shared" si="1"/>
        <v>3312</v>
      </c>
      <c r="O19" s="182"/>
      <c r="R19" s="179" t="str">
        <f>+A18</f>
        <v xml:space="preserve">POSEUR ZEMOURI </v>
      </c>
      <c r="S19" s="180"/>
      <c r="T19" s="124"/>
      <c r="X19" s="87">
        <f>+'A3'!BI21</f>
        <v>0</v>
      </c>
      <c r="Z19" s="87">
        <f>+'A1'!BD21</f>
        <v>0</v>
      </c>
      <c r="AA19" s="87">
        <f>+'A2'!BD21</f>
        <v>0</v>
      </c>
      <c r="AB19" s="87"/>
      <c r="AC19" s="87">
        <f>+'A4'!AZ21</f>
        <v>0</v>
      </c>
      <c r="AD19" s="87">
        <f>+'A5'!BD21</f>
        <v>0</v>
      </c>
    </row>
    <row r="20" spans="1:30" ht="21.75" customHeight="1" x14ac:dyDescent="0.4">
      <c r="A20" s="142"/>
      <c r="B20" s="135"/>
      <c r="C20" s="114" t="s">
        <v>75</v>
      </c>
      <c r="D20" s="93">
        <v>0.2</v>
      </c>
      <c r="E20" s="87">
        <f>+'A1'!AJ22</f>
        <v>286</v>
      </c>
      <c r="F20" s="87">
        <f>+'A2'!AJ22</f>
        <v>256</v>
      </c>
      <c r="G20" s="87">
        <v>0</v>
      </c>
      <c r="H20" s="87">
        <f>+'A4'!AF22</f>
        <v>0</v>
      </c>
      <c r="I20" s="87">
        <f>+'A5'!AJ22</f>
        <v>0</v>
      </c>
      <c r="J20" s="87">
        <v>0</v>
      </c>
      <c r="K20" s="6">
        <f t="shared" si="0"/>
        <v>542</v>
      </c>
      <c r="L20" s="185"/>
      <c r="M20" s="6">
        <f t="shared" si="1"/>
        <v>6504</v>
      </c>
      <c r="O20" s="182"/>
      <c r="R20" s="104" t="s">
        <v>102</v>
      </c>
      <c r="S20" s="103">
        <f>1500+3000+5000+4000+6000+5000+7000+2000+2000</f>
        <v>35500</v>
      </c>
      <c r="T20" s="124"/>
      <c r="X20" s="87">
        <f>+'A3'!BI22</f>
        <v>0</v>
      </c>
      <c r="Z20" s="87">
        <f>+'A1'!BD22</f>
        <v>0</v>
      </c>
      <c r="AA20" s="87">
        <f>+'A2'!BD22</f>
        <v>0</v>
      </c>
      <c r="AB20" s="87"/>
      <c r="AC20" s="87">
        <f>+'A4'!AZ22</f>
        <v>0</v>
      </c>
      <c r="AD20" s="87">
        <f>+'A5'!BD22</f>
        <v>0</v>
      </c>
    </row>
    <row r="21" spans="1:30" ht="21.75" customHeight="1" x14ac:dyDescent="0.4">
      <c r="A21" s="142"/>
      <c r="B21" s="136"/>
      <c r="C21" s="114" t="s">
        <v>76</v>
      </c>
      <c r="D21" s="93">
        <v>0.1</v>
      </c>
      <c r="E21" s="87">
        <f>+'A1'!AJ23</f>
        <v>0</v>
      </c>
      <c r="F21" s="87">
        <f>+'A2'!AJ23</f>
        <v>263</v>
      </c>
      <c r="G21" s="87">
        <v>0</v>
      </c>
      <c r="H21" s="87">
        <f>+'A4'!AF23</f>
        <v>0</v>
      </c>
      <c r="I21" s="87">
        <f>+'A5'!AJ23</f>
        <v>0</v>
      </c>
      <c r="J21" s="87">
        <v>0</v>
      </c>
      <c r="K21" s="6">
        <f t="shared" si="0"/>
        <v>263</v>
      </c>
      <c r="L21" s="185"/>
      <c r="M21" s="6">
        <f t="shared" si="1"/>
        <v>1578</v>
      </c>
      <c r="O21" s="182"/>
      <c r="R21" s="104" t="s">
        <v>103</v>
      </c>
      <c r="S21" s="103">
        <f>SUM(M18:M27)+((D10*E10*L10)+(D11*E11*L10)+(D12*E12*L10)+(D13*E13*L10)+(D6*E6*L6)+(D7*E7*L6)+(D8*E8*L6)+(D9*E9*L6))</f>
        <v>51744</v>
      </c>
      <c r="T21" s="123" t="s">
        <v>107</v>
      </c>
      <c r="U21" s="103">
        <f>+S21*10%</f>
        <v>5174.4000000000005</v>
      </c>
      <c r="X21" s="87">
        <f>+'A3'!BI23</f>
        <v>0</v>
      </c>
      <c r="Z21" s="87">
        <f>+'A1'!BD23</f>
        <v>0</v>
      </c>
      <c r="AA21" s="87">
        <f>+'A2'!BD23</f>
        <v>0</v>
      </c>
      <c r="AB21" s="87"/>
      <c r="AC21" s="87">
        <f>+'A4'!AZ23</f>
        <v>0</v>
      </c>
      <c r="AD21" s="87">
        <f>+'A5'!BD23</f>
        <v>0</v>
      </c>
    </row>
    <row r="22" spans="1:30" ht="21.75" customHeight="1" x14ac:dyDescent="0.4">
      <c r="A22" s="142"/>
      <c r="B22" s="137"/>
      <c r="C22" s="117" t="s">
        <v>15</v>
      </c>
      <c r="D22" s="94">
        <v>0.1</v>
      </c>
      <c r="E22" s="87">
        <f>+'A1'!AJ24</f>
        <v>0</v>
      </c>
      <c r="F22" s="87">
        <f>+'A2'!AJ24</f>
        <v>51</v>
      </c>
      <c r="G22" s="87">
        <v>0</v>
      </c>
      <c r="H22" s="87">
        <f>+'A4'!AF24</f>
        <v>0</v>
      </c>
      <c r="I22" s="87">
        <f>+'A5'!AJ24</f>
        <v>0</v>
      </c>
      <c r="J22" s="87">
        <v>0</v>
      </c>
      <c r="K22" s="6">
        <f t="shared" si="0"/>
        <v>51</v>
      </c>
      <c r="L22" s="185"/>
      <c r="M22" s="6">
        <f t="shared" si="1"/>
        <v>306</v>
      </c>
      <c r="O22" s="182"/>
      <c r="R22" s="104"/>
      <c r="S22" s="103"/>
      <c r="T22" s="123" t="s">
        <v>108</v>
      </c>
      <c r="U22" s="125">
        <f>S23-U21</f>
        <v>11069.599999999999</v>
      </c>
      <c r="X22" s="87">
        <f>+'A3'!BI24</f>
        <v>0</v>
      </c>
      <c r="Z22" s="87">
        <f>+'A1'!BD24</f>
        <v>0</v>
      </c>
      <c r="AA22" s="87">
        <f>+'A2'!BD24</f>
        <v>0</v>
      </c>
      <c r="AB22" s="87"/>
      <c r="AC22" s="87">
        <f>+'A4'!AZ24</f>
        <v>0</v>
      </c>
      <c r="AD22" s="87">
        <f>+'A5'!BD24</f>
        <v>0</v>
      </c>
    </row>
    <row r="23" spans="1:30" ht="21.75" customHeight="1" thickBot="1" x14ac:dyDescent="0.45">
      <c r="A23" s="142"/>
      <c r="B23" s="144"/>
      <c r="C23" s="118" t="s">
        <v>17</v>
      </c>
      <c r="D23" s="95">
        <v>0.1</v>
      </c>
      <c r="E23" s="29">
        <f>+'A1'!AJ25</f>
        <v>0</v>
      </c>
      <c r="F23" s="29">
        <f>+'A2'!AJ25</f>
        <v>176</v>
      </c>
      <c r="G23" s="29">
        <v>0</v>
      </c>
      <c r="H23" s="29">
        <f>+'A4'!AF25</f>
        <v>0</v>
      </c>
      <c r="I23" s="29">
        <f>+'A5'!AJ25</f>
        <v>0</v>
      </c>
      <c r="J23" s="29">
        <f>+'A5'!AK25</f>
        <v>0</v>
      </c>
      <c r="K23" s="29">
        <f t="shared" si="0"/>
        <v>176</v>
      </c>
      <c r="L23" s="186"/>
      <c r="M23" s="29">
        <f t="shared" si="1"/>
        <v>1056</v>
      </c>
      <c r="O23" s="183"/>
      <c r="R23" s="104" t="s">
        <v>104</v>
      </c>
      <c r="S23" s="103">
        <f>+S21-S20</f>
        <v>16244</v>
      </c>
      <c r="X23" s="29">
        <f>+'A3'!BI25</f>
        <v>0</v>
      </c>
      <c r="Z23" s="29">
        <f>+'A1'!BD25</f>
        <v>0</v>
      </c>
      <c r="AA23" s="29">
        <f>+'A2'!BD25</f>
        <v>0</v>
      </c>
      <c r="AB23" s="29"/>
      <c r="AC23" s="29">
        <f>+'A4'!AZ25</f>
        <v>0</v>
      </c>
      <c r="AD23" s="29">
        <f>+'A5'!BD25</f>
        <v>0</v>
      </c>
    </row>
    <row r="24" spans="1:30" ht="21.75" customHeight="1" x14ac:dyDescent="0.4">
      <c r="A24" s="142"/>
      <c r="B24" s="135" t="s">
        <v>62</v>
      </c>
      <c r="C24" s="107" t="s">
        <v>16</v>
      </c>
      <c r="D24" s="93">
        <v>0.5</v>
      </c>
      <c r="E24" s="86">
        <f>+'A1'!AJ26*4</f>
        <v>120</v>
      </c>
      <c r="F24" s="86">
        <f>+'A2'!AJ26*4</f>
        <v>384</v>
      </c>
      <c r="G24" s="86">
        <v>0</v>
      </c>
      <c r="H24" s="86">
        <f>+'A4'!AF26</f>
        <v>0</v>
      </c>
      <c r="I24" s="86">
        <f>+'A5'!AJ26</f>
        <v>0</v>
      </c>
      <c r="J24" s="86">
        <f>+'A5'!AK26</f>
        <v>0</v>
      </c>
      <c r="K24" s="28">
        <f t="shared" si="0"/>
        <v>504</v>
      </c>
      <c r="L24" s="184">
        <v>60</v>
      </c>
      <c r="M24" s="28">
        <f>+L$24*K24*D24</f>
        <v>15120</v>
      </c>
      <c r="N24" s="12"/>
      <c r="O24" s="181">
        <v>68</v>
      </c>
      <c r="X24" s="86">
        <f>+'A3'!BI26</f>
        <v>0</v>
      </c>
      <c r="Z24" s="86">
        <f>+'A1'!BD26</f>
        <v>0</v>
      </c>
      <c r="AA24" s="86">
        <f>+'A2'!BD26</f>
        <v>0</v>
      </c>
      <c r="AB24" s="86"/>
      <c r="AC24" s="86">
        <f>+'A4'!AZ26</f>
        <v>0</v>
      </c>
      <c r="AD24" s="86">
        <f>+'A5'!BD26</f>
        <v>0</v>
      </c>
    </row>
    <row r="25" spans="1:30" ht="21.75" customHeight="1" x14ac:dyDescent="0.4">
      <c r="A25" s="142"/>
      <c r="B25" s="136"/>
      <c r="C25" s="114" t="s">
        <v>63</v>
      </c>
      <c r="D25" s="93">
        <v>0.2</v>
      </c>
      <c r="E25" s="87">
        <f>+'A1'!AJ27*4</f>
        <v>120</v>
      </c>
      <c r="F25" s="87">
        <f>+'A2'!AJ27</f>
        <v>0</v>
      </c>
      <c r="G25" s="87">
        <v>0</v>
      </c>
      <c r="H25" s="87">
        <f>+'A4'!AF27</f>
        <v>0</v>
      </c>
      <c r="I25" s="87">
        <f>+'A5'!AJ27</f>
        <v>0</v>
      </c>
      <c r="J25" s="87">
        <f>+'A5'!AK27</f>
        <v>0</v>
      </c>
      <c r="K25" s="6">
        <f t="shared" si="0"/>
        <v>120</v>
      </c>
      <c r="L25" s="185"/>
      <c r="M25" s="6">
        <f>+L$24*K25*D25</f>
        <v>1440</v>
      </c>
      <c r="O25" s="182"/>
      <c r="X25" s="87">
        <f>+'A3'!BI27</f>
        <v>0</v>
      </c>
      <c r="Z25" s="87">
        <f>+'A1'!BD27</f>
        <v>0</v>
      </c>
      <c r="AA25" s="87">
        <f>+'A2'!BD27</f>
        <v>0</v>
      </c>
      <c r="AB25" s="87"/>
      <c r="AC25" s="87">
        <f>+'A4'!AZ27</f>
        <v>0</v>
      </c>
      <c r="AD25" s="87">
        <f>+'A5'!BD27</f>
        <v>0</v>
      </c>
    </row>
    <row r="26" spans="1:30" ht="21.75" customHeight="1" x14ac:dyDescent="0.4">
      <c r="A26" s="142"/>
      <c r="B26" s="137"/>
      <c r="C26" s="117" t="s">
        <v>15</v>
      </c>
      <c r="D26" s="94">
        <v>0.1</v>
      </c>
      <c r="E26" s="87">
        <f>+'A1'!AJ28</f>
        <v>0</v>
      </c>
      <c r="F26" s="87">
        <f>+'A2'!AJ28</f>
        <v>0</v>
      </c>
      <c r="G26" s="87">
        <v>0</v>
      </c>
      <c r="H26" s="87">
        <f>+'A4'!AF28</f>
        <v>0</v>
      </c>
      <c r="I26" s="87">
        <f>+'A5'!AJ28</f>
        <v>0</v>
      </c>
      <c r="J26" s="87">
        <f>+'A5'!AK28</f>
        <v>0</v>
      </c>
      <c r="K26" s="6">
        <f t="shared" si="0"/>
        <v>0</v>
      </c>
      <c r="L26" s="185"/>
      <c r="M26" s="6">
        <f>+L$24*K26*D26</f>
        <v>0</v>
      </c>
      <c r="O26" s="182"/>
      <c r="X26" s="87">
        <f>+'A3'!BI28</f>
        <v>0</v>
      </c>
      <c r="Z26" s="87">
        <f>+'A1'!BD28</f>
        <v>0</v>
      </c>
      <c r="AA26" s="87">
        <f>+'A2'!BD28</f>
        <v>0</v>
      </c>
      <c r="AB26" s="87"/>
      <c r="AC26" s="87">
        <f>+'A4'!AZ28</f>
        <v>0</v>
      </c>
      <c r="AD26" s="87">
        <f>+'A5'!BD28</f>
        <v>0</v>
      </c>
    </row>
    <row r="27" spans="1:30" ht="21.75" customHeight="1" thickBot="1" x14ac:dyDescent="0.45">
      <c r="A27" s="142"/>
      <c r="B27" s="144"/>
      <c r="C27" s="118" t="s">
        <v>17</v>
      </c>
      <c r="D27" s="95">
        <v>0.1</v>
      </c>
      <c r="E27" s="29">
        <f>+'A1'!AJ29</f>
        <v>0</v>
      </c>
      <c r="F27" s="29">
        <f>+'A2'!AJ29</f>
        <v>0</v>
      </c>
      <c r="G27" s="29">
        <v>0</v>
      </c>
      <c r="H27" s="29">
        <f>+'A4'!AF29</f>
        <v>0</v>
      </c>
      <c r="I27" s="29">
        <f>+'A5'!AJ29</f>
        <v>0</v>
      </c>
      <c r="J27" s="29">
        <f>+'A5'!AK29</f>
        <v>0</v>
      </c>
      <c r="K27" s="29">
        <f t="shared" si="0"/>
        <v>0</v>
      </c>
      <c r="L27" s="186"/>
      <c r="M27" s="29">
        <f>+L$24*K27*D27</f>
        <v>0</v>
      </c>
      <c r="O27" s="183"/>
      <c r="X27" s="29">
        <f>+'A3'!BI29</f>
        <v>0</v>
      </c>
      <c r="Z27" s="29">
        <f>+'A1'!BD29</f>
        <v>0</v>
      </c>
      <c r="AA27" s="29">
        <f>+'A2'!BD29</f>
        <v>0</v>
      </c>
      <c r="AB27" s="29"/>
      <c r="AC27" s="29">
        <f>+'A4'!AZ29</f>
        <v>0</v>
      </c>
      <c r="AD27" s="29">
        <f>+'A5'!BD29</f>
        <v>0</v>
      </c>
    </row>
    <row r="28" spans="1:30" ht="21.75" customHeight="1" x14ac:dyDescent="0.4">
      <c r="A28" s="142"/>
      <c r="B28" s="135" t="s">
        <v>60</v>
      </c>
      <c r="C28" s="107" t="s">
        <v>7</v>
      </c>
      <c r="D28" s="93">
        <v>0.9</v>
      </c>
      <c r="E28" s="86">
        <f>+'A1'!AJ30</f>
        <v>0</v>
      </c>
      <c r="F28" s="86">
        <f>+'A2'!AJ30</f>
        <v>12</v>
      </c>
      <c r="G28" s="86">
        <v>0</v>
      </c>
      <c r="H28" s="86">
        <f>+'A4'!AF30</f>
        <v>12</v>
      </c>
      <c r="I28" s="86">
        <f>+'A5'!AJ30</f>
        <v>12</v>
      </c>
      <c r="J28" s="86">
        <v>18</v>
      </c>
      <c r="K28" s="28">
        <f t="shared" si="0"/>
        <v>54</v>
      </c>
      <c r="L28" s="184">
        <v>40</v>
      </c>
      <c r="M28" s="28">
        <f>+L$28*K28*D28</f>
        <v>1944</v>
      </c>
      <c r="N28" s="12"/>
      <c r="O28" s="181">
        <v>70</v>
      </c>
      <c r="X28" s="86">
        <f>+'A3'!BI30</f>
        <v>0</v>
      </c>
      <c r="Z28" s="86">
        <f>+'A1'!BD30</f>
        <v>0</v>
      </c>
      <c r="AA28" s="86">
        <f>+'A2'!BD30</f>
        <v>0</v>
      </c>
      <c r="AB28" s="86"/>
      <c r="AC28" s="86">
        <f>+'A4'!AZ30</f>
        <v>0</v>
      </c>
      <c r="AD28" s="86">
        <f>+'A5'!BD30</f>
        <v>0</v>
      </c>
    </row>
    <row r="29" spans="1:30" ht="21.75" customHeight="1" thickBot="1" x14ac:dyDescent="0.45">
      <c r="A29" s="143"/>
      <c r="B29" s="144"/>
      <c r="C29" s="118" t="s">
        <v>64</v>
      </c>
      <c r="D29" s="97">
        <v>0.1</v>
      </c>
      <c r="E29" s="29">
        <f>+'A1'!AJ31</f>
        <v>0</v>
      </c>
      <c r="F29" s="29">
        <f>+'A2'!AJ31</f>
        <v>0</v>
      </c>
      <c r="G29" s="29">
        <v>0</v>
      </c>
      <c r="H29" s="29">
        <f>+'A4'!AF31</f>
        <v>0</v>
      </c>
      <c r="I29" s="29">
        <f>+'A5'!AJ31</f>
        <v>0</v>
      </c>
      <c r="J29" s="29">
        <f>+'A5'!AK31</f>
        <v>0</v>
      </c>
      <c r="K29" s="29">
        <f t="shared" si="0"/>
        <v>0</v>
      </c>
      <c r="L29" s="186"/>
      <c r="M29" s="29">
        <f>+L$28*K29*D29</f>
        <v>0</v>
      </c>
      <c r="O29" s="183"/>
      <c r="X29" s="29">
        <f>+'A3'!BI31</f>
        <v>0</v>
      </c>
      <c r="Z29" s="29">
        <f>+'A1'!BD31</f>
        <v>0</v>
      </c>
      <c r="AA29" s="29">
        <f>+'A2'!BD31</f>
        <v>0</v>
      </c>
      <c r="AB29" s="29"/>
      <c r="AC29" s="29">
        <f>+'A4'!AZ31</f>
        <v>0</v>
      </c>
      <c r="AD29" s="29">
        <f>+'A5'!BD31</f>
        <v>0</v>
      </c>
    </row>
    <row r="30" spans="1:30" ht="21.75" customHeight="1" x14ac:dyDescent="0.4">
      <c r="A30" s="132" t="s">
        <v>79</v>
      </c>
      <c r="B30" s="135" t="s">
        <v>2</v>
      </c>
      <c r="C30" s="106" t="s">
        <v>18</v>
      </c>
      <c r="D30" s="98">
        <v>0.3</v>
      </c>
      <c r="E30" s="86">
        <f>+'A1'!AJ32</f>
        <v>6720</v>
      </c>
      <c r="F30" s="86">
        <f>+'A2'!AJ32</f>
        <v>8144</v>
      </c>
      <c r="G30" s="86">
        <v>0</v>
      </c>
      <c r="H30" s="86">
        <f>+'A4'!AF32</f>
        <v>4082</v>
      </c>
      <c r="I30" s="86">
        <f>+'A5'!AJ32</f>
        <v>5955</v>
      </c>
      <c r="J30" s="86">
        <f>+'A5'!AK32</f>
        <v>0</v>
      </c>
      <c r="K30" s="28">
        <f t="shared" si="0"/>
        <v>24901</v>
      </c>
      <c r="L30" s="184"/>
      <c r="M30" s="86">
        <f>+L$30*K30*D30</f>
        <v>0</v>
      </c>
      <c r="O30" s="181">
        <v>124</v>
      </c>
      <c r="X30" s="86">
        <f>+'A3'!BI32</f>
        <v>0</v>
      </c>
      <c r="Z30" s="86">
        <f>+'A1'!BD32</f>
        <v>0</v>
      </c>
      <c r="AA30" s="86">
        <f>+'A2'!BD32</f>
        <v>0</v>
      </c>
      <c r="AB30" s="86"/>
      <c r="AC30" s="86">
        <f>+'A4'!AZ32</f>
        <v>0</v>
      </c>
      <c r="AD30" s="86">
        <f>+'A5'!BD32</f>
        <v>0</v>
      </c>
    </row>
    <row r="31" spans="1:30" ht="21.75" customHeight="1" x14ac:dyDescent="0.4">
      <c r="A31" s="133"/>
      <c r="B31" s="136"/>
      <c r="C31" s="107" t="s">
        <v>19</v>
      </c>
      <c r="D31" s="99">
        <v>0.3</v>
      </c>
      <c r="E31" s="87">
        <f>+'A1'!AJ33</f>
        <v>6720</v>
      </c>
      <c r="F31" s="87">
        <f>+'A2'!AJ33</f>
        <v>8144</v>
      </c>
      <c r="G31" s="87">
        <v>0</v>
      </c>
      <c r="H31" s="87">
        <f>+'A4'!AF33</f>
        <v>4082</v>
      </c>
      <c r="I31" s="87">
        <f>+'A5'!AJ33</f>
        <v>5955</v>
      </c>
      <c r="J31" s="87">
        <f>+'A5'!AK33</f>
        <v>0</v>
      </c>
      <c r="K31" s="6">
        <f t="shared" si="0"/>
        <v>24901</v>
      </c>
      <c r="L31" s="185"/>
      <c r="M31" s="87">
        <f>+L$30*K31*D31</f>
        <v>0</v>
      </c>
      <c r="O31" s="182"/>
      <c r="X31" s="87">
        <f>+'A3'!BI33</f>
        <v>0</v>
      </c>
      <c r="Z31" s="87">
        <f>+'A1'!BD33</f>
        <v>0</v>
      </c>
      <c r="AA31" s="87">
        <f>+'A2'!BD33</f>
        <v>0</v>
      </c>
      <c r="AB31" s="87"/>
      <c r="AC31" s="87">
        <f>+'A4'!AZ33</f>
        <v>0</v>
      </c>
      <c r="AD31" s="87">
        <f>+'A5'!BD33</f>
        <v>0</v>
      </c>
    </row>
    <row r="32" spans="1:30" ht="21.75" customHeight="1" x14ac:dyDescent="0.4">
      <c r="A32" s="133"/>
      <c r="B32" s="137"/>
      <c r="C32" s="107" t="s">
        <v>25</v>
      </c>
      <c r="D32" s="99">
        <v>0.3</v>
      </c>
      <c r="E32" s="87">
        <f>+'A1'!AJ34</f>
        <v>0</v>
      </c>
      <c r="F32" s="87">
        <f>+'A2'!AJ34</f>
        <v>15931</v>
      </c>
      <c r="G32" s="87">
        <v>0</v>
      </c>
      <c r="H32" s="87">
        <f>+'A4'!AF34</f>
        <v>8164</v>
      </c>
      <c r="I32" s="87">
        <f>+'A5'!AJ34</f>
        <v>11910</v>
      </c>
      <c r="J32" s="87">
        <f>+'A5'!AK34</f>
        <v>0</v>
      </c>
      <c r="K32" s="6">
        <f t="shared" si="0"/>
        <v>36005</v>
      </c>
      <c r="L32" s="185"/>
      <c r="M32" s="87">
        <f>+L$30*K32*D32</f>
        <v>0</v>
      </c>
      <c r="O32" s="182"/>
      <c r="X32" s="87">
        <f>+'A3'!BI34</f>
        <v>0</v>
      </c>
      <c r="Z32" s="87">
        <f>+'A1'!BD34</f>
        <v>0</v>
      </c>
      <c r="AA32" s="87">
        <f>+'A2'!BD34</f>
        <v>0</v>
      </c>
      <c r="AB32" s="87"/>
      <c r="AC32" s="87">
        <f>+'A4'!AZ34</f>
        <v>0</v>
      </c>
      <c r="AD32" s="87">
        <f>+'A5'!BD34</f>
        <v>0</v>
      </c>
    </row>
    <row r="33" spans="1:30" ht="21.75" customHeight="1" thickBot="1" x14ac:dyDescent="0.45">
      <c r="A33" s="134"/>
      <c r="B33" s="137"/>
      <c r="C33" s="108" t="s">
        <v>20</v>
      </c>
      <c r="D33" s="100">
        <v>0.1</v>
      </c>
      <c r="E33" s="29">
        <f>+'A1'!AJ35</f>
        <v>0</v>
      </c>
      <c r="F33" s="29">
        <f>+'A2'!AJ35</f>
        <v>0</v>
      </c>
      <c r="G33" s="29">
        <v>0</v>
      </c>
      <c r="H33" s="29">
        <f>+'A4'!AF35</f>
        <v>0</v>
      </c>
      <c r="I33" s="29">
        <f>+'A5'!AJ35</f>
        <v>0</v>
      </c>
      <c r="J33" s="29">
        <f>+'A5'!AK35</f>
        <v>0</v>
      </c>
      <c r="K33" s="69">
        <f t="shared" si="0"/>
        <v>0</v>
      </c>
      <c r="L33" s="186"/>
      <c r="M33" s="29">
        <f>+L$30*K33*D33</f>
        <v>0</v>
      </c>
      <c r="O33" s="183"/>
      <c r="X33" s="29">
        <f>+'A3'!BI35</f>
        <v>0</v>
      </c>
      <c r="Z33" s="29">
        <f>+'A1'!BD35</f>
        <v>0</v>
      </c>
      <c r="AA33" s="29">
        <f>+'A2'!BD35</f>
        <v>0</v>
      </c>
      <c r="AB33" s="29"/>
      <c r="AC33" s="29">
        <f>+'A4'!AZ35</f>
        <v>0</v>
      </c>
      <c r="AD33" s="29">
        <f>+'A5'!BD35</f>
        <v>0</v>
      </c>
    </row>
    <row r="34" spans="1:30" ht="21.75" customHeight="1" x14ac:dyDescent="0.4">
      <c r="A34" s="132" t="s">
        <v>80</v>
      </c>
      <c r="B34" s="137"/>
      <c r="C34" s="106" t="s">
        <v>21</v>
      </c>
      <c r="D34" s="105">
        <v>0.6</v>
      </c>
      <c r="E34" s="101">
        <f>'A1'!AJ36</f>
        <v>0</v>
      </c>
      <c r="F34" s="101">
        <f>'A2'!AJ36</f>
        <v>8144</v>
      </c>
      <c r="G34" s="101">
        <v>0</v>
      </c>
      <c r="H34" s="101">
        <f>+'A4'!AF36</f>
        <v>4082</v>
      </c>
      <c r="I34" s="101">
        <f>+'A5'!AJ36</f>
        <v>225</v>
      </c>
      <c r="J34" s="101">
        <f>+'A5'!AK36</f>
        <v>0</v>
      </c>
      <c r="K34" s="86">
        <f t="shared" si="0"/>
        <v>12451</v>
      </c>
      <c r="L34" s="185"/>
      <c r="M34" s="86">
        <f>+L$34*K34*D34</f>
        <v>0</v>
      </c>
      <c r="O34" s="181">
        <v>124</v>
      </c>
      <c r="X34" s="101">
        <f>+'A3'!BI36</f>
        <v>0</v>
      </c>
      <c r="Z34" s="101">
        <f>+'A1'!BD36</f>
        <v>0</v>
      </c>
      <c r="AA34" s="101">
        <f>+'A2'!BD36</f>
        <v>0</v>
      </c>
      <c r="AB34" s="101"/>
      <c r="AC34" s="101">
        <f>+'A4'!AZ36</f>
        <v>0</v>
      </c>
      <c r="AD34" s="101">
        <f>+'A5'!BD36</f>
        <v>0</v>
      </c>
    </row>
    <row r="35" spans="1:30" ht="21.75" customHeight="1" x14ac:dyDescent="0.4">
      <c r="A35" s="133"/>
      <c r="B35" s="137"/>
      <c r="C35" s="107" t="s">
        <v>106</v>
      </c>
      <c r="D35" s="99">
        <v>0.1</v>
      </c>
      <c r="E35" s="101">
        <f>'A1'!AJ37</f>
        <v>0</v>
      </c>
      <c r="F35" s="101">
        <f>'A2'!AJ37</f>
        <v>23</v>
      </c>
      <c r="G35" s="87">
        <v>0</v>
      </c>
      <c r="H35" s="101">
        <f>+'A4'!AF37</f>
        <v>0</v>
      </c>
      <c r="I35" s="101">
        <f>+'A5'!AJ37</f>
        <v>1</v>
      </c>
      <c r="J35" s="101">
        <f>+'A5'!AK37</f>
        <v>0</v>
      </c>
      <c r="K35" s="101">
        <f t="shared" si="0"/>
        <v>24</v>
      </c>
      <c r="L35" s="185"/>
      <c r="M35" s="6">
        <f>+L$34*K35*D35</f>
        <v>0</v>
      </c>
      <c r="O35" s="182"/>
      <c r="X35" s="87">
        <f>+'A3'!BI37</f>
        <v>0</v>
      </c>
      <c r="Z35" s="87">
        <f>+'A1'!BD37</f>
        <v>0</v>
      </c>
      <c r="AA35" s="87">
        <f>+'A2'!BD37</f>
        <v>0</v>
      </c>
      <c r="AB35" s="87"/>
      <c r="AC35" s="87">
        <f>+'A4'!AZ37</f>
        <v>0</v>
      </c>
      <c r="AD35" s="87">
        <f>+'A5'!BD37</f>
        <v>0</v>
      </c>
    </row>
    <row r="36" spans="1:30" ht="21.75" customHeight="1" x14ac:dyDescent="0.4">
      <c r="A36" s="133"/>
      <c r="B36" s="137"/>
      <c r="C36" s="107" t="s">
        <v>22</v>
      </c>
      <c r="D36" s="99">
        <v>0.1</v>
      </c>
      <c r="E36" s="101">
        <f>'A1'!AJ38</f>
        <v>0</v>
      </c>
      <c r="F36" s="101">
        <f>'A2'!AJ38</f>
        <v>23</v>
      </c>
      <c r="G36" s="87">
        <v>0</v>
      </c>
      <c r="H36" s="101">
        <f>+'A4'!AF38</f>
        <v>5</v>
      </c>
      <c r="I36" s="101">
        <f>+'A5'!AJ38</f>
        <v>1</v>
      </c>
      <c r="J36" s="101">
        <f>+'A5'!AK38</f>
        <v>0</v>
      </c>
      <c r="K36" s="101">
        <f t="shared" si="0"/>
        <v>29</v>
      </c>
      <c r="L36" s="185"/>
      <c r="M36" s="6">
        <f>+L$34*K36*D36</f>
        <v>0</v>
      </c>
      <c r="O36" s="182"/>
      <c r="X36" s="87">
        <f>+'A3'!BI38</f>
        <v>0</v>
      </c>
      <c r="Z36" s="87">
        <f>+'A1'!BD38</f>
        <v>0</v>
      </c>
      <c r="AA36" s="87">
        <f>+'A2'!BD38</f>
        <v>0</v>
      </c>
      <c r="AB36" s="87"/>
      <c r="AC36" s="87">
        <f>+'A4'!AZ38</f>
        <v>0</v>
      </c>
      <c r="AD36" s="87">
        <f>+'A5'!BD38</f>
        <v>0</v>
      </c>
    </row>
    <row r="37" spans="1:30" ht="21.75" customHeight="1" x14ac:dyDescent="0.4">
      <c r="A37" s="133"/>
      <c r="B37" s="137"/>
      <c r="C37" s="107" t="s">
        <v>23</v>
      </c>
      <c r="D37" s="99">
        <v>0.1</v>
      </c>
      <c r="E37" s="101">
        <f>'A1'!AJ39</f>
        <v>0</v>
      </c>
      <c r="F37" s="101">
        <f>'A2'!AJ39</f>
        <v>23</v>
      </c>
      <c r="G37" s="87">
        <v>0</v>
      </c>
      <c r="H37" s="101">
        <f>+'A4'!AF39</f>
        <v>17</v>
      </c>
      <c r="I37" s="101">
        <f>+'A5'!AJ39</f>
        <v>1</v>
      </c>
      <c r="J37" s="101">
        <f>+'A5'!AK39</f>
        <v>0</v>
      </c>
      <c r="K37" s="101">
        <f t="shared" si="0"/>
        <v>41</v>
      </c>
      <c r="L37" s="185"/>
      <c r="M37" s="6">
        <f>+L$34*K37*D37</f>
        <v>0</v>
      </c>
      <c r="O37" s="182"/>
      <c r="X37" s="87">
        <f>+'A3'!BI39</f>
        <v>0</v>
      </c>
      <c r="Z37" s="87">
        <f>+'A1'!BD39</f>
        <v>0</v>
      </c>
      <c r="AA37" s="87">
        <f>+'A2'!BD39</f>
        <v>0</v>
      </c>
      <c r="AB37" s="87"/>
      <c r="AC37" s="87">
        <f>+'A4'!AZ39</f>
        <v>0</v>
      </c>
      <c r="AD37" s="87">
        <f>+'A5'!BD39</f>
        <v>0</v>
      </c>
    </row>
    <row r="38" spans="1:30" ht="21.75" customHeight="1" thickBot="1" x14ac:dyDescent="0.45">
      <c r="A38" s="134"/>
      <c r="B38" s="137"/>
      <c r="C38" s="108" t="s">
        <v>24</v>
      </c>
      <c r="D38" s="100">
        <v>0.1</v>
      </c>
      <c r="E38" s="101">
        <f>'A1'!AJ40</f>
        <v>0</v>
      </c>
      <c r="F38" s="101">
        <f>'A2'!AJ40</f>
        <v>23</v>
      </c>
      <c r="G38" s="29">
        <v>0</v>
      </c>
      <c r="H38" s="101">
        <f>+'A4'!AF40</f>
        <v>0</v>
      </c>
      <c r="I38" s="101">
        <f>+'A5'!AJ40</f>
        <v>23</v>
      </c>
      <c r="J38" s="101">
        <f>+'A5'!AK40</f>
        <v>0</v>
      </c>
      <c r="K38" s="102">
        <f t="shared" si="0"/>
        <v>46</v>
      </c>
      <c r="L38" s="187"/>
      <c r="M38" s="109">
        <f>+L$34*K38*D38</f>
        <v>0</v>
      </c>
      <c r="O38" s="183"/>
      <c r="X38" s="29">
        <f>+'A3'!BI40</f>
        <v>0</v>
      </c>
      <c r="Z38" s="29">
        <f>+'A1'!BD40</f>
        <v>0</v>
      </c>
      <c r="AA38" s="29">
        <f>+'A2'!BD40</f>
        <v>0</v>
      </c>
      <c r="AB38" s="29"/>
      <c r="AC38" s="29">
        <f>+'A4'!AZ40</f>
        <v>0</v>
      </c>
      <c r="AD38" s="29">
        <f>+'A5'!BD40</f>
        <v>0</v>
      </c>
    </row>
    <row r="39" spans="1:30" ht="21.75" customHeight="1" x14ac:dyDescent="0.4">
      <c r="A39" s="188" t="s">
        <v>111</v>
      </c>
      <c r="B39" s="191" t="s">
        <v>12</v>
      </c>
      <c r="C39" s="106" t="s">
        <v>7</v>
      </c>
      <c r="D39" s="89">
        <v>0.5</v>
      </c>
      <c r="E39" s="86">
        <f>+'A1'!AJ45</f>
        <v>32</v>
      </c>
      <c r="F39" s="86"/>
      <c r="G39" s="86"/>
      <c r="H39" s="86"/>
      <c r="I39" s="86"/>
      <c r="J39" s="86"/>
      <c r="K39" s="28">
        <f>SUM(E39:J39)</f>
        <v>32</v>
      </c>
      <c r="L39" s="184">
        <v>120</v>
      </c>
      <c r="M39" s="86">
        <f>+L$39*K39*D39</f>
        <v>1920</v>
      </c>
      <c r="O39" s="181">
        <v>125</v>
      </c>
      <c r="R39" s="13"/>
      <c r="S39" s="13"/>
      <c r="X39" s="86">
        <f>+'A3'!BI41</f>
        <v>0</v>
      </c>
      <c r="Z39" s="86">
        <f>+'A1'!BD53</f>
        <v>0</v>
      </c>
      <c r="AA39" s="86">
        <f>+'A2'!BD41</f>
        <v>0</v>
      </c>
      <c r="AB39" s="86"/>
      <c r="AC39" s="86">
        <f>+'A4'!AZ41</f>
        <v>0</v>
      </c>
      <c r="AD39" s="86">
        <f>+'A5'!BD41</f>
        <v>0</v>
      </c>
    </row>
    <row r="40" spans="1:30" ht="21.75" customHeight="1" x14ac:dyDescent="0.4">
      <c r="A40" s="189"/>
      <c r="B40" s="192"/>
      <c r="C40" s="114" t="s">
        <v>8</v>
      </c>
      <c r="D40" s="90">
        <v>0.2</v>
      </c>
      <c r="E40" s="87">
        <f>+'A1'!AJ46</f>
        <v>17</v>
      </c>
      <c r="F40" s="87"/>
      <c r="G40" s="87"/>
      <c r="H40" s="87"/>
      <c r="I40" s="87"/>
      <c r="J40" s="87"/>
      <c r="K40" s="6">
        <f t="shared" ref="K40:K46" si="2">SUM(E40:J40)</f>
        <v>17</v>
      </c>
      <c r="L40" s="185"/>
      <c r="M40" s="87">
        <f t="shared" ref="M40:M42" si="3">+L$39*K40*D40</f>
        <v>408</v>
      </c>
      <c r="O40" s="182"/>
      <c r="R40" s="13"/>
      <c r="S40" s="13"/>
      <c r="X40" s="87">
        <f>+'A3'!BI42</f>
        <v>0</v>
      </c>
      <c r="Z40" s="87">
        <f>+'A1'!BD54</f>
        <v>0</v>
      </c>
      <c r="AA40" s="87">
        <f>+'A2'!BD42</f>
        <v>0</v>
      </c>
      <c r="AB40" s="87"/>
      <c r="AC40" s="87">
        <f>+'A4'!AZ42</f>
        <v>0</v>
      </c>
      <c r="AD40" s="87">
        <f>+'A5'!BD42</f>
        <v>0</v>
      </c>
    </row>
    <row r="41" spans="1:30" ht="21.75" customHeight="1" x14ac:dyDescent="0.4">
      <c r="A41" s="189"/>
      <c r="B41" s="193"/>
      <c r="C41" s="114" t="s">
        <v>6</v>
      </c>
      <c r="D41" s="90">
        <v>0.15</v>
      </c>
      <c r="E41" s="87">
        <f>+'A1'!AJ47</f>
        <v>17</v>
      </c>
      <c r="F41" s="87"/>
      <c r="G41" s="87"/>
      <c r="H41" s="87"/>
      <c r="I41" s="87"/>
      <c r="J41" s="87"/>
      <c r="K41" s="6">
        <f t="shared" si="2"/>
        <v>17</v>
      </c>
      <c r="L41" s="185"/>
      <c r="M41" s="87">
        <f t="shared" si="3"/>
        <v>306</v>
      </c>
      <c r="O41" s="182"/>
      <c r="R41" s="179" t="str">
        <f>+A39</f>
        <v>MOURAD</v>
      </c>
      <c r="S41" s="180"/>
      <c r="X41" s="87">
        <f>+'A3'!BI43</f>
        <v>0</v>
      </c>
      <c r="Z41" s="87">
        <f>+'A1'!BD55</f>
        <v>0</v>
      </c>
      <c r="AA41" s="87">
        <f>+'A2'!BD43</f>
        <v>0</v>
      </c>
      <c r="AB41" s="87"/>
      <c r="AC41" s="87">
        <f>+'A4'!AZ43</f>
        <v>0</v>
      </c>
      <c r="AD41" s="87">
        <f>+'A5'!BD43</f>
        <v>0</v>
      </c>
    </row>
    <row r="42" spans="1:30" ht="30.6" thickBot="1" x14ac:dyDescent="0.45">
      <c r="A42" s="189"/>
      <c r="B42" s="194"/>
      <c r="C42" s="115" t="s">
        <v>9</v>
      </c>
      <c r="D42" s="91">
        <v>0.15</v>
      </c>
      <c r="E42" s="29">
        <f>+'A1'!AJ48</f>
        <v>13</v>
      </c>
      <c r="F42" s="29"/>
      <c r="G42" s="29"/>
      <c r="H42" s="29"/>
      <c r="I42" s="29"/>
      <c r="J42" s="29"/>
      <c r="K42" s="29">
        <f t="shared" si="2"/>
        <v>13</v>
      </c>
      <c r="L42" s="186"/>
      <c r="M42" s="29">
        <f t="shared" si="3"/>
        <v>234</v>
      </c>
      <c r="O42" s="183"/>
      <c r="R42" s="104" t="s">
        <v>102</v>
      </c>
      <c r="S42" s="103">
        <v>0</v>
      </c>
      <c r="X42" s="29">
        <f>+'A3'!BI44</f>
        <v>0</v>
      </c>
      <c r="Z42" s="29">
        <f>+'A1'!BD56</f>
        <v>0</v>
      </c>
      <c r="AA42" s="29">
        <f>+'A2'!BD44</f>
        <v>0</v>
      </c>
      <c r="AB42" s="29"/>
      <c r="AC42" s="29">
        <f>+'A4'!AZ44</f>
        <v>0</v>
      </c>
      <c r="AD42" s="29">
        <f>+'A5'!BD44</f>
        <v>0</v>
      </c>
    </row>
    <row r="43" spans="1:30" ht="21.75" customHeight="1" x14ac:dyDescent="0.4">
      <c r="A43" s="189"/>
      <c r="B43" s="135" t="s">
        <v>11</v>
      </c>
      <c r="C43" s="107" t="s">
        <v>7</v>
      </c>
      <c r="D43" s="89">
        <v>0.5</v>
      </c>
      <c r="E43" s="86">
        <f>+'A1'!AJ49</f>
        <v>2</v>
      </c>
      <c r="F43" s="86"/>
      <c r="G43" s="86"/>
      <c r="H43" s="86"/>
      <c r="I43" s="86"/>
      <c r="J43" s="86"/>
      <c r="K43" s="28">
        <f t="shared" si="2"/>
        <v>2</v>
      </c>
      <c r="L43" s="184">
        <v>150</v>
      </c>
      <c r="M43" s="86">
        <f>+L$43*K43*D43</f>
        <v>150</v>
      </c>
      <c r="O43" s="181">
        <v>789</v>
      </c>
      <c r="R43" s="104" t="s">
        <v>103</v>
      </c>
      <c r="S43" s="103">
        <f>SUM(M39:M46)</f>
        <v>3168</v>
      </c>
      <c r="T43" s="123" t="s">
        <v>107</v>
      </c>
      <c r="U43" s="103">
        <f>+S43*10%</f>
        <v>316.8</v>
      </c>
      <c r="X43" s="86">
        <f>+'A3'!BI45</f>
        <v>0</v>
      </c>
      <c r="Z43" s="86">
        <f>+'A1'!BD57</f>
        <v>0</v>
      </c>
      <c r="AA43" s="86">
        <f>+'A2'!BD45</f>
        <v>0</v>
      </c>
      <c r="AB43" s="86"/>
      <c r="AC43" s="86">
        <f>+'A4'!AZ45</f>
        <v>0</v>
      </c>
      <c r="AD43" s="86">
        <f>+'A5'!BD45</f>
        <v>0</v>
      </c>
    </row>
    <row r="44" spans="1:30" ht="21.75" customHeight="1" x14ac:dyDescent="0.4">
      <c r="A44" s="189"/>
      <c r="B44" s="135"/>
      <c r="C44" s="114" t="s">
        <v>8</v>
      </c>
      <c r="D44" s="90">
        <v>0.2</v>
      </c>
      <c r="E44" s="87">
        <f>+'A1'!AJ50</f>
        <v>2</v>
      </c>
      <c r="F44" s="87"/>
      <c r="G44" s="87"/>
      <c r="H44" s="87"/>
      <c r="I44" s="87"/>
      <c r="J44" s="87"/>
      <c r="K44" s="6">
        <f t="shared" si="2"/>
        <v>2</v>
      </c>
      <c r="L44" s="185"/>
      <c r="M44" s="87">
        <f t="shared" ref="M44:M46" si="4">+L$43*K44*D44</f>
        <v>60</v>
      </c>
      <c r="O44" s="182"/>
      <c r="T44" s="123" t="s">
        <v>110</v>
      </c>
      <c r="U44" s="125">
        <f>S45-U43</f>
        <v>2851.2</v>
      </c>
      <c r="X44" s="87">
        <f>+'A3'!BI46</f>
        <v>0</v>
      </c>
      <c r="Z44" s="87">
        <f>+'A1'!BD58</f>
        <v>0</v>
      </c>
      <c r="AA44" s="87">
        <f>+'A2'!BD46</f>
        <v>0</v>
      </c>
      <c r="AB44" s="87"/>
      <c r="AC44" s="87">
        <f>+'A4'!AZ46</f>
        <v>0</v>
      </c>
      <c r="AD44" s="87">
        <f>+'A5'!BD46</f>
        <v>0</v>
      </c>
    </row>
    <row r="45" spans="1:30" ht="21.75" customHeight="1" x14ac:dyDescent="0.4">
      <c r="A45" s="189"/>
      <c r="B45" s="136"/>
      <c r="C45" s="114" t="s">
        <v>6</v>
      </c>
      <c r="D45" s="90">
        <v>0.15</v>
      </c>
      <c r="E45" s="87">
        <f>+'A1'!AJ51</f>
        <v>2</v>
      </c>
      <c r="F45" s="87"/>
      <c r="G45" s="87"/>
      <c r="H45" s="87"/>
      <c r="I45" s="87"/>
      <c r="J45" s="87"/>
      <c r="K45" s="6">
        <f t="shared" si="2"/>
        <v>2</v>
      </c>
      <c r="L45" s="185"/>
      <c r="M45" s="87">
        <f t="shared" si="4"/>
        <v>45</v>
      </c>
      <c r="O45" s="182"/>
      <c r="R45" s="104" t="s">
        <v>104</v>
      </c>
      <c r="S45" s="103">
        <f>+S43-S42</f>
        <v>3168</v>
      </c>
      <c r="T45" s="124"/>
      <c r="X45" s="87">
        <f>+'A3'!BI47</f>
        <v>0</v>
      </c>
      <c r="Z45" s="87">
        <f>+'A1'!BD59</f>
        <v>0</v>
      </c>
      <c r="AA45" s="87">
        <f>+'A2'!BD47</f>
        <v>0</v>
      </c>
      <c r="AB45" s="87"/>
      <c r="AC45" s="87">
        <f>+'A4'!AZ47</f>
        <v>0</v>
      </c>
      <c r="AD45" s="87">
        <f>+'A5'!BD47</f>
        <v>0</v>
      </c>
    </row>
    <row r="46" spans="1:30" ht="30.6" thickBot="1" x14ac:dyDescent="0.45">
      <c r="A46" s="190"/>
      <c r="B46" s="144"/>
      <c r="C46" s="115" t="s">
        <v>10</v>
      </c>
      <c r="D46" s="91">
        <v>0.15</v>
      </c>
      <c r="E46" s="29">
        <f>+'A1'!AJ52</f>
        <v>2</v>
      </c>
      <c r="F46" s="29"/>
      <c r="G46" s="29"/>
      <c r="H46" s="29"/>
      <c r="I46" s="29"/>
      <c r="J46" s="29"/>
      <c r="K46" s="29">
        <f t="shared" si="2"/>
        <v>2</v>
      </c>
      <c r="L46" s="186"/>
      <c r="M46" s="29">
        <f t="shared" si="4"/>
        <v>45</v>
      </c>
      <c r="O46" s="182"/>
      <c r="T46" s="124"/>
      <c r="X46" s="29">
        <f>+'A3'!BI48</f>
        <v>0</v>
      </c>
      <c r="Z46" s="29">
        <f>+'A1'!BD60</f>
        <v>0</v>
      </c>
      <c r="AA46" s="29">
        <f>+'A2'!BD48</f>
        <v>0</v>
      </c>
      <c r="AB46" s="29"/>
      <c r="AC46" s="29">
        <f>+'A4'!AZ48</f>
        <v>0</v>
      </c>
      <c r="AD46" s="29">
        <f>+'A5'!BD48</f>
        <v>0</v>
      </c>
    </row>
    <row r="48" spans="1:30" x14ac:dyDescent="0.4">
      <c r="E48" s="1">
        <f>SUM(E6:E47)</f>
        <v>14826</v>
      </c>
      <c r="F48" s="1">
        <f t="shared" ref="F48:K48" si="5">SUM(F6:F47)</f>
        <v>42925</v>
      </c>
      <c r="G48" s="1">
        <f t="shared" si="5"/>
        <v>36</v>
      </c>
      <c r="H48" s="1">
        <f t="shared" si="5"/>
        <v>20507</v>
      </c>
      <c r="I48" s="1">
        <f t="shared" si="5"/>
        <v>24119</v>
      </c>
      <c r="J48" s="1">
        <f t="shared" si="5"/>
        <v>36</v>
      </c>
      <c r="K48" s="1">
        <f t="shared" si="5"/>
        <v>102449</v>
      </c>
    </row>
    <row r="50" spans="1:30" x14ac:dyDescent="0.4">
      <c r="E50" s="1">
        <v>14484</v>
      </c>
      <c r="F50" s="1">
        <v>42104</v>
      </c>
      <c r="G50" s="1">
        <v>0</v>
      </c>
      <c r="H50" s="1">
        <v>20471</v>
      </c>
      <c r="I50" s="1">
        <v>24098</v>
      </c>
      <c r="J50" s="1">
        <v>24098</v>
      </c>
      <c r="K50" s="1">
        <v>101157</v>
      </c>
      <c r="R50" s="179" t="s">
        <v>105</v>
      </c>
      <c r="S50" s="180"/>
    </row>
    <row r="51" spans="1:30" x14ac:dyDescent="0.4">
      <c r="R51" s="104" t="s">
        <v>102</v>
      </c>
      <c r="S51" s="103">
        <v>0</v>
      </c>
    </row>
    <row r="52" spans="1:30" x14ac:dyDescent="0.4">
      <c r="R52" s="104" t="s">
        <v>103</v>
      </c>
      <c r="S52" s="103">
        <v>0</v>
      </c>
    </row>
    <row r="53" spans="1:30" x14ac:dyDescent="0.4">
      <c r="R53" s="104"/>
      <c r="S53" s="103"/>
    </row>
    <row r="54" spans="1:30" x14ac:dyDescent="0.4">
      <c r="R54" s="104" t="s">
        <v>104</v>
      </c>
      <c r="S54" s="103">
        <f>+S52-S51</f>
        <v>0</v>
      </c>
    </row>
    <row r="55" spans="1:30" ht="21.6" thickBot="1" x14ac:dyDescent="0.45"/>
    <row r="56" spans="1:30" ht="84.6" customHeight="1" thickBot="1" x14ac:dyDescent="0.45">
      <c r="B56" s="66" t="s">
        <v>89</v>
      </c>
      <c r="C56" s="66" t="s">
        <v>88</v>
      </c>
      <c r="D56" s="110" t="s">
        <v>26</v>
      </c>
      <c r="K56" s="203"/>
      <c r="L56" s="203"/>
      <c r="M56" s="203"/>
    </row>
    <row r="57" spans="1:30" ht="41.4" customHeight="1" x14ac:dyDescent="0.4">
      <c r="A57" s="132" t="s">
        <v>117</v>
      </c>
      <c r="B57" s="153" t="s">
        <v>2</v>
      </c>
      <c r="C57" s="106" t="s">
        <v>21</v>
      </c>
      <c r="D57" s="86">
        <v>10146</v>
      </c>
      <c r="K57" s="203"/>
      <c r="L57" s="203"/>
      <c r="M57" s="203"/>
      <c r="O57" s="181">
        <v>124</v>
      </c>
      <c r="X57" s="101">
        <f>+'A3'!BI59</f>
        <v>0</v>
      </c>
      <c r="Z57" s="101">
        <f>+'A1'!BD59</f>
        <v>0</v>
      </c>
      <c r="AA57" s="101">
        <f>+'A2'!BD59</f>
        <v>0</v>
      </c>
      <c r="AB57" s="101"/>
      <c r="AC57" s="101">
        <f>+'A4'!AZ59</f>
        <v>0</v>
      </c>
      <c r="AD57" s="101">
        <f>+'A5'!BD59</f>
        <v>0</v>
      </c>
    </row>
    <row r="58" spans="1:30" ht="41.4" customHeight="1" x14ac:dyDescent="0.4">
      <c r="A58" s="133"/>
      <c r="B58" s="154"/>
      <c r="C58" s="107" t="s">
        <v>22</v>
      </c>
      <c r="D58" s="101">
        <v>30</v>
      </c>
      <c r="K58" s="203"/>
      <c r="L58" s="203"/>
      <c r="M58" s="203"/>
      <c r="O58" s="182"/>
      <c r="X58" s="87">
        <f>+'A3'!BI61</f>
        <v>0</v>
      </c>
      <c r="Z58" s="87">
        <f>+'A1'!BD61</f>
        <v>0</v>
      </c>
      <c r="AA58" s="87">
        <f>+'A2'!BD61</f>
        <v>0</v>
      </c>
      <c r="AB58" s="87"/>
      <c r="AC58" s="87">
        <f>+'A4'!AZ61</f>
        <v>0</v>
      </c>
      <c r="AD58" s="87">
        <f>+'A5'!BD61</f>
        <v>0</v>
      </c>
    </row>
    <row r="59" spans="1:30" ht="41.4" customHeight="1" x14ac:dyDescent="0.4">
      <c r="A59" s="133"/>
      <c r="B59" s="154"/>
      <c r="C59" s="107" t="s">
        <v>23</v>
      </c>
      <c r="D59" s="101">
        <v>30</v>
      </c>
      <c r="K59" s="203"/>
      <c r="L59" s="203"/>
      <c r="M59" s="203"/>
      <c r="O59" s="182"/>
      <c r="X59" s="87">
        <f>+'A3'!BI62</f>
        <v>0</v>
      </c>
      <c r="Z59" s="87">
        <f>+'A1'!BD62</f>
        <v>0</v>
      </c>
      <c r="AA59" s="87">
        <f>+'A2'!BD62</f>
        <v>0</v>
      </c>
      <c r="AB59" s="87"/>
      <c r="AC59" s="87">
        <f>+'A4'!AZ62</f>
        <v>0</v>
      </c>
      <c r="AD59" s="87">
        <f>+'A5'!BD62</f>
        <v>0</v>
      </c>
    </row>
    <row r="60" spans="1:30" ht="41.4" customHeight="1" thickBot="1" x14ac:dyDescent="0.45">
      <c r="A60" s="133"/>
      <c r="B60" s="154"/>
      <c r="C60" s="107" t="s">
        <v>24</v>
      </c>
      <c r="D60" s="101">
        <v>30</v>
      </c>
      <c r="K60" s="203"/>
      <c r="L60" s="203"/>
      <c r="M60" s="203"/>
      <c r="O60" s="182"/>
      <c r="X60" s="29">
        <f>+'A3'!BI61</f>
        <v>0</v>
      </c>
      <c r="Z60" s="29">
        <f>+'A1'!BD61</f>
        <v>0</v>
      </c>
      <c r="AA60" s="29">
        <f>+'A2'!BD61</f>
        <v>0</v>
      </c>
      <c r="AB60" s="29"/>
      <c r="AC60" s="29">
        <f>+'A4'!AZ61</f>
        <v>0</v>
      </c>
      <c r="AD60" s="29">
        <f>+'A5'!BD61</f>
        <v>0</v>
      </c>
    </row>
    <row r="61" spans="1:30" ht="41.4" customHeight="1" thickBot="1" x14ac:dyDescent="0.45">
      <c r="A61" s="133"/>
      <c r="B61" s="154"/>
      <c r="C61" s="107" t="s">
        <v>114</v>
      </c>
      <c r="D61" s="101">
        <v>77</v>
      </c>
      <c r="K61" s="203"/>
      <c r="L61" s="203"/>
      <c r="M61" s="203"/>
      <c r="O61" s="182"/>
      <c r="X61" s="29">
        <f>+'A3'!BI62</f>
        <v>0</v>
      </c>
      <c r="Z61" s="29">
        <f>+'A1'!BD62</f>
        <v>0</v>
      </c>
      <c r="AA61" s="29">
        <f>+'A2'!BD62</f>
        <v>0</v>
      </c>
      <c r="AB61" s="29"/>
      <c r="AC61" s="29">
        <f>+'A4'!AZ62</f>
        <v>0</v>
      </c>
      <c r="AD61" s="29">
        <f>+'A5'!BD62</f>
        <v>0</v>
      </c>
    </row>
    <row r="62" spans="1:30" ht="41.4" customHeight="1" thickBot="1" x14ac:dyDescent="0.45">
      <c r="A62" s="133"/>
      <c r="B62" s="154"/>
      <c r="C62" s="107" t="s">
        <v>115</v>
      </c>
      <c r="D62" s="101">
        <v>117</v>
      </c>
      <c r="K62" s="203"/>
      <c r="L62" s="203"/>
      <c r="M62" s="203"/>
      <c r="O62" s="182"/>
      <c r="X62" s="29">
        <f>+'A3'!BI63</f>
        <v>0</v>
      </c>
      <c r="Z62" s="29">
        <f>+'A1'!BD63</f>
        <v>0</v>
      </c>
      <c r="AA62" s="29">
        <f>+'A2'!BD63</f>
        <v>0</v>
      </c>
      <c r="AB62" s="29"/>
      <c r="AC62" s="29">
        <f>+'A4'!AZ63</f>
        <v>0</v>
      </c>
      <c r="AD62" s="29">
        <f>+'A5'!BD63</f>
        <v>0</v>
      </c>
    </row>
    <row r="63" spans="1:30" ht="41.4" customHeight="1" thickBot="1" x14ac:dyDescent="0.45">
      <c r="A63" s="134"/>
      <c r="B63" s="155"/>
      <c r="C63" s="108" t="s">
        <v>116</v>
      </c>
      <c r="D63" s="102">
        <f>125-30</f>
        <v>95</v>
      </c>
      <c r="K63" s="204"/>
      <c r="L63" s="204"/>
      <c r="M63" s="204"/>
      <c r="O63" s="183"/>
      <c r="X63" s="29">
        <f>+'A3'!BI63</f>
        <v>0</v>
      </c>
      <c r="Z63" s="29">
        <f>+'A1'!BD63</f>
        <v>0</v>
      </c>
      <c r="AA63" s="29">
        <f>+'A2'!BD63</f>
        <v>0</v>
      </c>
      <c r="AB63" s="29"/>
      <c r="AC63" s="29">
        <f>+'A4'!AZ63</f>
        <v>0</v>
      </c>
      <c r="AD63" s="29">
        <f>+'A5'!BD63</f>
        <v>0</v>
      </c>
    </row>
  </sheetData>
  <mergeCells count="43">
    <mergeCell ref="A39:A46"/>
    <mergeCell ref="A57:A63"/>
    <mergeCell ref="O57:O63"/>
    <mergeCell ref="B57:B63"/>
    <mergeCell ref="B39:B42"/>
    <mergeCell ref="L39:L42"/>
    <mergeCell ref="O39:O42"/>
    <mergeCell ref="R41:S41"/>
    <mergeCell ref="B43:B46"/>
    <mergeCell ref="L43:L46"/>
    <mergeCell ref="O43:O46"/>
    <mergeCell ref="O30:O33"/>
    <mergeCell ref="O34:O38"/>
    <mergeCell ref="L34:L38"/>
    <mergeCell ref="A1:M1"/>
    <mergeCell ref="L18:L23"/>
    <mergeCell ref="L24:L27"/>
    <mergeCell ref="L28:L29"/>
    <mergeCell ref="L30:L33"/>
    <mergeCell ref="B14:B17"/>
    <mergeCell ref="B3:C3"/>
    <mergeCell ref="A30:A33"/>
    <mergeCell ref="B30:B38"/>
    <mergeCell ref="A34:A38"/>
    <mergeCell ref="A18:A29"/>
    <mergeCell ref="B18:B23"/>
    <mergeCell ref="B24:B27"/>
    <mergeCell ref="R50:S50"/>
    <mergeCell ref="O24:O27"/>
    <mergeCell ref="B28:B29"/>
    <mergeCell ref="O28:O29"/>
    <mergeCell ref="A6:A17"/>
    <mergeCell ref="B6:B9"/>
    <mergeCell ref="O6:O9"/>
    <mergeCell ref="B10:B13"/>
    <mergeCell ref="R19:S19"/>
    <mergeCell ref="L6:L9"/>
    <mergeCell ref="L10:L13"/>
    <mergeCell ref="L14:L17"/>
    <mergeCell ref="O10:O13"/>
    <mergeCell ref="O14:O17"/>
    <mergeCell ref="R8:S8"/>
    <mergeCell ref="O18:O23"/>
  </mergeCells>
  <phoneticPr fontId="9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3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E9AA-CCA3-4835-80D1-25DE1EEA4304}">
  <dimension ref="A1"/>
  <sheetViews>
    <sheetView workbookViewId="0">
      <selection activeCell="H21" sqref="H2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A5</vt:lpstr>
      <vt:lpstr>A4</vt:lpstr>
      <vt:lpstr>A3</vt:lpstr>
      <vt:lpstr>A2</vt:lpstr>
      <vt:lpstr>A1</vt:lpstr>
      <vt:lpstr>RECAP</vt:lpstr>
      <vt:lpstr>Feuil1</vt:lpstr>
      <vt:lpstr>'A1'!Zone_d_impression</vt:lpstr>
      <vt:lpstr>'A2'!Zone_d_impression</vt:lpstr>
      <vt:lpstr>'A3'!Zone_d_impression</vt:lpstr>
      <vt:lpstr>'A4'!Zone_d_impression</vt:lpstr>
      <vt:lpstr>'A5'!Zone_d_impression</vt:lpstr>
      <vt:lpstr>RECAP!Zone_d_impression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ECHCHORFI</dc:creator>
  <cp:lastModifiedBy>ELHAJ ECHCHORFI</cp:lastModifiedBy>
  <cp:lastPrinted>2025-11-15T12:05:18Z</cp:lastPrinted>
  <dcterms:created xsi:type="dcterms:W3CDTF">2024-07-26T16:01:57Z</dcterms:created>
  <dcterms:modified xsi:type="dcterms:W3CDTF">2026-02-16T18:00:36Z</dcterms:modified>
</cp:coreProperties>
</file>