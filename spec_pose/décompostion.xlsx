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boisandco\spec_pose\"/>
    </mc:Choice>
  </mc:AlternateContent>
  <xr:revisionPtr revIDLastSave="0" documentId="8_{53D1DF35-0D55-4409-8E81-278CC39DB611}" xr6:coauthVersionLast="47" xr6:coauthVersionMax="47" xr10:uidLastSave="{00000000-0000-0000-0000-000000000000}"/>
  <bookViews>
    <workbookView xWindow="-108" yWindow="-108" windowWidth="23256" windowHeight="12456" xr2:uid="{85177C24-682A-4A9A-86ED-BB524681A47A}"/>
  </bookViews>
  <sheets>
    <sheet name="RECAP" sheetId="1" r:id="rId1"/>
  </sheets>
  <externalReferences>
    <externalReference r:id="rId2"/>
  </externalReferences>
  <definedNames>
    <definedName name="_xlnm.Print_Area" localSheetId="0">RECAP!$A$1:$U$66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63" i="1" l="1"/>
  <c r="AC63" i="1"/>
  <c r="AA63" i="1"/>
  <c r="Z63" i="1"/>
  <c r="X63" i="1"/>
  <c r="D63" i="1"/>
  <c r="AD62" i="1"/>
  <c r="AC62" i="1"/>
  <c r="AA62" i="1"/>
  <c r="Z62" i="1"/>
  <c r="X62" i="1"/>
  <c r="AD61" i="1"/>
  <c r="AC61" i="1"/>
  <c r="AA61" i="1"/>
  <c r="Z61" i="1"/>
  <c r="X61" i="1"/>
  <c r="AD60" i="1"/>
  <c r="AC60" i="1"/>
  <c r="AA60" i="1"/>
  <c r="Z60" i="1"/>
  <c r="X60" i="1"/>
  <c r="AD59" i="1"/>
  <c r="AC59" i="1"/>
  <c r="AA59" i="1"/>
  <c r="Z59" i="1"/>
  <c r="X59" i="1"/>
  <c r="AD58" i="1"/>
  <c r="AC58" i="1"/>
  <c r="AA58" i="1"/>
  <c r="Z58" i="1"/>
  <c r="X58" i="1"/>
  <c r="AD57" i="1"/>
  <c r="AC57" i="1"/>
  <c r="AA57" i="1"/>
  <c r="Z57" i="1"/>
  <c r="X57" i="1"/>
  <c r="S54" i="1"/>
  <c r="K48" i="1"/>
  <c r="J48" i="1"/>
  <c r="I48" i="1"/>
  <c r="H48" i="1"/>
  <c r="G48" i="1"/>
  <c r="F48" i="1"/>
  <c r="E48" i="1"/>
  <c r="AD46" i="1"/>
  <c r="AC46" i="1"/>
  <c r="AA46" i="1"/>
  <c r="Z46" i="1"/>
  <c r="X46" i="1"/>
  <c r="M46" i="1"/>
  <c r="AD45" i="1"/>
  <c r="AC45" i="1"/>
  <c r="AA45" i="1"/>
  <c r="Z45" i="1"/>
  <c r="X45" i="1"/>
  <c r="M45" i="1"/>
  <c r="AD44" i="1"/>
  <c r="AC44" i="1"/>
  <c r="AA44" i="1"/>
  <c r="Z44" i="1"/>
  <c r="X44" i="1"/>
  <c r="M44" i="1"/>
  <c r="AD43" i="1"/>
  <c r="AC43" i="1"/>
  <c r="AA43" i="1"/>
  <c r="Z43" i="1"/>
  <c r="X43" i="1"/>
  <c r="M43" i="1"/>
  <c r="AD42" i="1"/>
  <c r="AC42" i="1"/>
  <c r="AA42" i="1"/>
  <c r="Z42" i="1"/>
  <c r="X42" i="1"/>
  <c r="M42" i="1"/>
  <c r="AD41" i="1"/>
  <c r="AC41" i="1"/>
  <c r="AA41" i="1"/>
  <c r="Z41" i="1"/>
  <c r="X41" i="1"/>
  <c r="R41" i="1"/>
  <c r="M41" i="1"/>
  <c r="S43" i="1" s="1"/>
  <c r="AD40" i="1"/>
  <c r="AC40" i="1"/>
  <c r="AA40" i="1"/>
  <c r="Z40" i="1"/>
  <c r="X40" i="1"/>
  <c r="M40" i="1"/>
  <c r="AD39" i="1"/>
  <c r="AC39" i="1"/>
  <c r="AA39" i="1"/>
  <c r="Z39" i="1"/>
  <c r="X39" i="1"/>
  <c r="M39" i="1"/>
  <c r="AD38" i="1"/>
  <c r="AC38" i="1"/>
  <c r="AA38" i="1"/>
  <c r="Z38" i="1"/>
  <c r="X38" i="1"/>
  <c r="M38" i="1"/>
  <c r="AD37" i="1"/>
  <c r="AC37" i="1"/>
  <c r="AA37" i="1"/>
  <c r="Z37" i="1"/>
  <c r="X37" i="1"/>
  <c r="M37" i="1"/>
  <c r="AD36" i="1"/>
  <c r="AC36" i="1"/>
  <c r="AA36" i="1"/>
  <c r="Z36" i="1"/>
  <c r="X36" i="1"/>
  <c r="M36" i="1"/>
  <c r="AD35" i="1"/>
  <c r="AC35" i="1"/>
  <c r="AA35" i="1"/>
  <c r="Z35" i="1"/>
  <c r="X35" i="1"/>
  <c r="M35" i="1"/>
  <c r="AD34" i="1"/>
  <c r="AC34" i="1"/>
  <c r="AA34" i="1"/>
  <c r="Z34" i="1"/>
  <c r="X34" i="1"/>
  <c r="M34" i="1"/>
  <c r="AD33" i="1"/>
  <c r="AC33" i="1"/>
  <c r="AA33" i="1"/>
  <c r="Z33" i="1"/>
  <c r="X33" i="1"/>
  <c r="M33" i="1"/>
  <c r="AD32" i="1"/>
  <c r="AC32" i="1"/>
  <c r="AA32" i="1"/>
  <c r="Z32" i="1"/>
  <c r="X32" i="1"/>
  <c r="M32" i="1"/>
  <c r="AD31" i="1"/>
  <c r="AC31" i="1"/>
  <c r="AA31" i="1"/>
  <c r="Z31" i="1"/>
  <c r="X31" i="1"/>
  <c r="M31" i="1"/>
  <c r="AD30" i="1"/>
  <c r="AC30" i="1"/>
  <c r="AA30" i="1"/>
  <c r="Z30" i="1"/>
  <c r="X30" i="1"/>
  <c r="M30" i="1"/>
  <c r="AD29" i="1"/>
  <c r="AC29" i="1"/>
  <c r="AA29" i="1"/>
  <c r="Z29" i="1"/>
  <c r="X29" i="1"/>
  <c r="M29" i="1"/>
  <c r="AD28" i="1"/>
  <c r="AC28" i="1"/>
  <c r="AA28" i="1"/>
  <c r="Z28" i="1"/>
  <c r="X28" i="1"/>
  <c r="M28" i="1"/>
  <c r="AD27" i="1"/>
  <c r="AC27" i="1"/>
  <c r="AA27" i="1"/>
  <c r="Z27" i="1"/>
  <c r="X27" i="1"/>
  <c r="M27" i="1"/>
  <c r="AD26" i="1"/>
  <c r="AC26" i="1"/>
  <c r="AA26" i="1"/>
  <c r="Z26" i="1"/>
  <c r="X26" i="1"/>
  <c r="M26" i="1"/>
  <c r="AD25" i="1"/>
  <c r="AC25" i="1"/>
  <c r="AA25" i="1"/>
  <c r="Z25" i="1"/>
  <c r="X25" i="1"/>
  <c r="M25" i="1"/>
  <c r="AD24" i="1"/>
  <c r="AC24" i="1"/>
  <c r="AA24" i="1"/>
  <c r="Z24" i="1"/>
  <c r="X24" i="1"/>
  <c r="M24" i="1"/>
  <c r="AD23" i="1"/>
  <c r="AC23" i="1"/>
  <c r="AA23" i="1"/>
  <c r="Z23" i="1"/>
  <c r="X23" i="1"/>
  <c r="M23" i="1"/>
  <c r="AD22" i="1"/>
  <c r="AC22" i="1"/>
  <c r="AA22" i="1"/>
  <c r="Z22" i="1"/>
  <c r="X22" i="1"/>
  <c r="M22" i="1"/>
  <c r="AD21" i="1"/>
  <c r="AC21" i="1"/>
  <c r="AA21" i="1"/>
  <c r="Z21" i="1"/>
  <c r="X21" i="1"/>
  <c r="M21" i="1"/>
  <c r="AD20" i="1"/>
  <c r="AC20" i="1"/>
  <c r="AA20" i="1"/>
  <c r="Z20" i="1"/>
  <c r="X20" i="1"/>
  <c r="S20" i="1"/>
  <c r="M20" i="1"/>
  <c r="AD19" i="1"/>
  <c r="AC19" i="1"/>
  <c r="AA19" i="1"/>
  <c r="Z19" i="1"/>
  <c r="X19" i="1"/>
  <c r="R19" i="1"/>
  <c r="M19" i="1"/>
  <c r="S21" i="1" s="1"/>
  <c r="AD18" i="1"/>
  <c r="AC18" i="1"/>
  <c r="AA18" i="1"/>
  <c r="Z18" i="1"/>
  <c r="X18" i="1"/>
  <c r="M18" i="1"/>
  <c r="AD17" i="1"/>
  <c r="AC17" i="1"/>
  <c r="AA17" i="1"/>
  <c r="Z17" i="1"/>
  <c r="X17" i="1"/>
  <c r="M17" i="1"/>
  <c r="AD16" i="1"/>
  <c r="AC16" i="1"/>
  <c r="AA16" i="1"/>
  <c r="Z16" i="1"/>
  <c r="X16" i="1"/>
  <c r="M16" i="1"/>
  <c r="AD15" i="1"/>
  <c r="AC15" i="1"/>
  <c r="AA15" i="1"/>
  <c r="Z15" i="1"/>
  <c r="X15" i="1"/>
  <c r="M15" i="1"/>
  <c r="AD14" i="1"/>
  <c r="AC14" i="1"/>
  <c r="AA14" i="1"/>
  <c r="Z14" i="1"/>
  <c r="X14" i="1"/>
  <c r="M14" i="1"/>
  <c r="AD13" i="1"/>
  <c r="AC13" i="1"/>
  <c r="AA13" i="1"/>
  <c r="Z13" i="1"/>
  <c r="X13" i="1"/>
  <c r="M13" i="1"/>
  <c r="AD12" i="1"/>
  <c r="AC12" i="1"/>
  <c r="AA12" i="1"/>
  <c r="Z12" i="1"/>
  <c r="X12" i="1"/>
  <c r="M12" i="1"/>
  <c r="AD11" i="1"/>
  <c r="AC11" i="1"/>
  <c r="AA11" i="1"/>
  <c r="Z11" i="1"/>
  <c r="X11" i="1"/>
  <c r="M11" i="1"/>
  <c r="AD10" i="1"/>
  <c r="AC10" i="1"/>
  <c r="AA10" i="1"/>
  <c r="Z10" i="1"/>
  <c r="X10" i="1"/>
  <c r="M10" i="1"/>
  <c r="AD9" i="1"/>
  <c r="AC9" i="1"/>
  <c r="AA9" i="1"/>
  <c r="Z9" i="1"/>
  <c r="X9" i="1"/>
  <c r="S9" i="1"/>
  <c r="M9" i="1"/>
  <c r="AD8" i="1"/>
  <c r="AC8" i="1"/>
  <c r="AA8" i="1"/>
  <c r="Z8" i="1"/>
  <c r="X8" i="1"/>
  <c r="R8" i="1"/>
  <c r="M8" i="1"/>
  <c r="S10" i="1" s="1"/>
  <c r="AD7" i="1"/>
  <c r="AC7" i="1"/>
  <c r="AA7" i="1"/>
  <c r="Z7" i="1"/>
  <c r="X7" i="1"/>
  <c r="M7" i="1"/>
  <c r="AD6" i="1"/>
  <c r="AC6" i="1"/>
  <c r="AA6" i="1"/>
  <c r="Z6" i="1"/>
  <c r="X6" i="1"/>
  <c r="M6" i="1"/>
  <c r="S45" i="1" l="1"/>
  <c r="U43" i="1"/>
  <c r="S23" i="1"/>
  <c r="U22" i="1" s="1"/>
  <c r="U21" i="1"/>
  <c r="S12" i="1"/>
  <c r="U10" i="1"/>
  <c r="U44" i="1" l="1"/>
  <c r="U11" i="1"/>
</calcChain>
</file>

<file path=xl/sharedStrings.xml><?xml version="1.0" encoding="utf-8"?>
<sst xmlns="http://schemas.openxmlformats.org/spreadsheetml/2006/main" count="101" uniqueCount="62">
  <si>
    <t xml:space="preserve">PROJET: TEMARA AVENUE
ETAT DE POSE </t>
  </si>
  <si>
    <t>DU 01/02/26 AU 16/02/26</t>
  </si>
  <si>
    <t>ARTICLES</t>
  </si>
  <si>
    <t>DECOMPOSITION</t>
  </si>
  <si>
    <t>DECOMPOSITION
PRIX  %</t>
  </si>
  <si>
    <t>RECAP A1</t>
  </si>
  <si>
    <t>RECAP A2</t>
  </si>
  <si>
    <t>RECAP A3</t>
  </si>
  <si>
    <t>RECAP A4</t>
  </si>
  <si>
    <t>RECAP A5</t>
  </si>
  <si>
    <t>ARZANA</t>
  </si>
  <si>
    <t>RECAP DE POSE</t>
  </si>
  <si>
    <t>PRIX</t>
  </si>
  <si>
    <t>MONTANT</t>
  </si>
  <si>
    <t>QUANTITÉ MARCHÉ</t>
  </si>
  <si>
    <t>POSEUR ZOUHAIR</t>
  </si>
  <si>
    <t>PORTES D'ENTRÉE</t>
  </si>
  <si>
    <t>Cadre + Panneau</t>
  </si>
  <si>
    <t>Chambranle + Habillage</t>
  </si>
  <si>
    <t>Imposte</t>
  </si>
  <si>
    <t>Butoirs, Judas, Poignée et serrures , Canon</t>
  </si>
  <si>
    <t>TOTAL AVANCE</t>
  </si>
  <si>
    <t>PORTES INTÉRIEURES</t>
  </si>
  <si>
    <t>TOTAL POSE</t>
  </si>
  <si>
    <t>RF</t>
  </si>
  <si>
    <t>Reste dû au poseur</t>
  </si>
  <si>
    <t>RESTE</t>
  </si>
  <si>
    <t>Butoirs, Poignée et serrures, Canon &amp; Condamnation</t>
  </si>
  <si>
    <t>PORTES ESCALIERS / SECOURS</t>
  </si>
  <si>
    <t>Ferme porte, Poignée et serrures, Barre anti panique</t>
  </si>
  <si>
    <t xml:space="preserve">POSEUR ZEMOURI </t>
  </si>
  <si>
    <t>PLACARDS</t>
  </si>
  <si>
    <t>Amg Caisson ( quantité en ouvrants)</t>
  </si>
  <si>
    <t>Etageres</t>
  </si>
  <si>
    <t>Ouvrants</t>
  </si>
  <si>
    <t xml:space="preserve">Chambranle </t>
  </si>
  <si>
    <t>Boc titoir</t>
  </si>
  <si>
    <t xml:space="preserve">  Reste dû au poseur</t>
  </si>
  <si>
    <t>Tringles &amp; Accessoires</t>
  </si>
  <si>
    <t xml:space="preserve"> DRESSINGS</t>
  </si>
  <si>
    <t>Amg Caisson+ Etageres</t>
  </si>
  <si>
    <t xml:space="preserve"> Chambranle </t>
  </si>
  <si>
    <t>PLACARD TECHNIQUE</t>
  </si>
  <si>
    <t>Poignées et accessoires</t>
  </si>
  <si>
    <t>HICHAM</t>
  </si>
  <si>
    <t>CUISINE</t>
  </si>
  <si>
    <t>Caisson bas</t>
  </si>
  <si>
    <t>Caisson haut</t>
  </si>
  <si>
    <t xml:space="preserve">Façades &amp; faces tiroir </t>
  </si>
  <si>
    <t>Poignées</t>
  </si>
  <si>
    <t>AYOUB</t>
  </si>
  <si>
    <t>PDT</t>
  </si>
  <si>
    <t>Decoupe</t>
  </si>
  <si>
    <t>Socle de sol</t>
  </si>
  <si>
    <t>Crédence</t>
  </si>
  <si>
    <t>Plinthe sur PDT</t>
  </si>
  <si>
    <t>MOURAD</t>
  </si>
  <si>
    <t>POSEUR ELOUAFI</t>
  </si>
  <si>
    <t>AHMED MARBRIER</t>
  </si>
  <si>
    <t>Decoupe evier</t>
  </si>
  <si>
    <t>Decoupe mitigeur</t>
  </si>
  <si>
    <t>Finition et masticage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</si>
</sst>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u/>
      <sz val="16"/>
      <name val="Arial"/>
      <family val="2"/>
    </font>
    <font>
      <sz val="11"/>
      <color rgb="FF000000"/>
      <name val="Calibri"/>
      <family val="2"/>
      <charset val="1"/>
    </font>
    <font>
      <b/>
      <sz val="14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</cellStyleXfs>
  <cellXfs count="89">
    <xf numFmtId="0" fontId="0" fillId="0" borderId="0" xfId="0"/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vertical="center" wrapText="1"/>
    </xf>
    <xf numFmtId="0" fontId="5" fillId="0" borderId="0" xfId="3" applyAlignment="1">
      <alignment vertical="center"/>
    </xf>
    <xf numFmtId="0" fontId="6" fillId="0" borderId="0" xfId="3" applyFont="1" applyAlignment="1">
      <alignment horizontal="centerContinuous" vertical="center"/>
    </xf>
    <xf numFmtId="0" fontId="6" fillId="0" borderId="0" xfId="3" applyFont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0" fontId="5" fillId="0" borderId="0" xfId="3" applyAlignment="1">
      <alignment horizontal="center" vertical="center"/>
    </xf>
    <xf numFmtId="14" fontId="4" fillId="0" borderId="0" xfId="2" applyNumberFormat="1" applyFont="1" applyAlignment="1">
      <alignment horizontal="center" vertical="center"/>
    </xf>
    <xf numFmtId="14" fontId="4" fillId="0" borderId="0" xfId="2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0" fillId="4" borderId="2" xfId="0" applyFont="1" applyFill="1" applyBorder="1" applyAlignment="1">
      <alignment horizontal="center" vertical="center" textRotation="90"/>
    </xf>
    <xf numFmtId="0" fontId="7" fillId="3" borderId="3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9" fontId="0" fillId="5" borderId="3" xfId="1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textRotation="90"/>
    </xf>
    <xf numFmtId="0" fontId="0" fillId="5" borderId="7" xfId="0" applyFill="1" applyBorder="1" applyAlignment="1">
      <alignment horizontal="center"/>
    </xf>
    <xf numFmtId="9" fontId="0" fillId="5" borderId="8" xfId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wrapText="1"/>
    </xf>
    <xf numFmtId="9" fontId="0" fillId="5" borderId="13" xfId="1" applyFont="1" applyFill="1" applyBorder="1" applyAlignment="1">
      <alignment horizontal="center" wrapText="1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11" fillId="0" borderId="15" xfId="0" applyFont="1" applyBorder="1" applyAlignment="1">
      <alignment horizontal="center" vertical="center"/>
    </xf>
    <xf numFmtId="0" fontId="2" fillId="0" borderId="16" xfId="0" applyFont="1" applyBorder="1"/>
    <xf numFmtId="0" fontId="8" fillId="0" borderId="16" xfId="0" applyFont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12" fillId="0" borderId="16" xfId="0" applyFont="1" applyBorder="1"/>
    <xf numFmtId="0" fontId="8" fillId="6" borderId="16" xfId="0" applyFont="1" applyFill="1" applyBorder="1" applyAlignment="1">
      <alignment horizontal="center" vertical="center"/>
    </xf>
    <xf numFmtId="0" fontId="13" fillId="0" borderId="0" xfId="0" applyFont="1"/>
    <xf numFmtId="0" fontId="10" fillId="4" borderId="15" xfId="0" applyFont="1" applyFill="1" applyBorder="1" applyAlignment="1">
      <alignment horizontal="center" vertical="center" textRotation="90"/>
    </xf>
    <xf numFmtId="0" fontId="10" fillId="2" borderId="2" xfId="0" applyFont="1" applyFill="1" applyBorder="1" applyAlignment="1">
      <alignment horizontal="center" vertical="center" textRotation="90"/>
    </xf>
    <xf numFmtId="0" fontId="0" fillId="5" borderId="10" xfId="0" applyFill="1" applyBorder="1" applyAlignment="1">
      <alignment horizontal="center" wrapText="1"/>
    </xf>
    <xf numFmtId="10" fontId="0" fillId="5" borderId="3" xfId="0" applyNumberFormat="1" applyFill="1" applyBorder="1" applyAlignment="1">
      <alignment horizontal="center" wrapText="1"/>
    </xf>
    <xf numFmtId="0" fontId="0" fillId="0" borderId="17" xfId="0" applyBorder="1"/>
    <xf numFmtId="0" fontId="10" fillId="2" borderId="6" xfId="0" applyFont="1" applyFill="1" applyBorder="1" applyAlignment="1">
      <alignment horizontal="center" vertical="center" textRotation="90"/>
    </xf>
    <xf numFmtId="10" fontId="0" fillId="5" borderId="3" xfId="0" applyNumberFormat="1" applyFill="1" applyBorder="1" applyAlignment="1">
      <alignment horizontal="center"/>
    </xf>
    <xf numFmtId="0" fontId="7" fillId="3" borderId="18" xfId="0" applyFont="1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/>
    </xf>
    <xf numFmtId="10" fontId="0" fillId="5" borderId="0" xfId="0" applyNumberFormat="1" applyFill="1" applyAlignment="1">
      <alignment horizontal="center"/>
    </xf>
    <xf numFmtId="0" fontId="0" fillId="5" borderId="14" xfId="0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0" fontId="10" fillId="2" borderId="15" xfId="0" applyFont="1" applyFill="1" applyBorder="1" applyAlignment="1">
      <alignment horizontal="center" vertical="center" textRotation="90"/>
    </xf>
    <xf numFmtId="10" fontId="0" fillId="5" borderId="18" xfId="0" applyNumberFormat="1" applyFill="1" applyBorder="1" applyAlignment="1">
      <alignment horizontal="center"/>
    </xf>
    <xf numFmtId="0" fontId="10" fillId="7" borderId="2" xfId="0" applyFont="1" applyFill="1" applyBorder="1" applyAlignment="1">
      <alignment horizontal="center" vertical="center" textRotation="90"/>
    </xf>
    <xf numFmtId="10" fontId="0" fillId="5" borderId="4" xfId="0" applyNumberFormat="1" applyFill="1" applyBorder="1" applyAlignment="1">
      <alignment horizontal="center"/>
    </xf>
    <xf numFmtId="0" fontId="10" fillId="7" borderId="6" xfId="0" applyFont="1" applyFill="1" applyBorder="1" applyAlignment="1">
      <alignment horizontal="center" vertical="center" textRotation="90"/>
    </xf>
    <xf numFmtId="10" fontId="0" fillId="5" borderId="7" xfId="0" applyNumberFormat="1" applyFill="1" applyBorder="1" applyAlignment="1">
      <alignment horizontal="center"/>
    </xf>
    <xf numFmtId="0" fontId="10" fillId="7" borderId="15" xfId="0" applyFont="1" applyFill="1" applyBorder="1" applyAlignment="1">
      <alignment horizontal="center" vertical="center" textRotation="90"/>
    </xf>
    <xf numFmtId="0" fontId="0" fillId="5" borderId="15" xfId="0" applyFill="1" applyBorder="1" applyAlignment="1">
      <alignment horizontal="center"/>
    </xf>
    <xf numFmtId="10" fontId="0" fillId="5" borderId="14" xfId="0" applyNumberForma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10" fontId="0" fillId="5" borderId="10" xfId="0" applyNumberForma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/>
    </xf>
    <xf numFmtId="0" fontId="10" fillId="6" borderId="2" xfId="0" applyFont="1" applyFill="1" applyBorder="1" applyAlignment="1">
      <alignment horizontal="center" vertical="center" textRotation="90"/>
    </xf>
    <xf numFmtId="0" fontId="7" fillId="3" borderId="4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textRotation="90"/>
    </xf>
    <xf numFmtId="0" fontId="7" fillId="3" borderId="10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textRotation="90"/>
    </xf>
    <xf numFmtId="0" fontId="7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0" borderId="22" xfId="0" applyFont="1" applyBorder="1"/>
  </cellXfs>
  <cellStyles count="4">
    <cellStyle name="Normal" xfId="0" builtinId="0"/>
    <cellStyle name="Normal 4" xfId="3" xr:uid="{677AC965-AF07-4779-89DB-5561FFB858E8}"/>
    <cellStyle name="Normal_decomp n°1" xfId="2" xr:uid="{2A6F7D37-729F-4573-8571-0CAFD8FFE65E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eur\boisandco\spec_pose\TAV_ETAT%20DE%20POSE_291225%20modifi&#233;.xlsx" TargetMode="External"/><Relationship Id="rId1" Type="http://schemas.openxmlformats.org/officeDocument/2006/relationships/externalLinkPath" Target="TAV_ETAT%20DE%20POSE_291225%20modifi&#2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5"/>
      <sheetName val="A4"/>
      <sheetName val="A3"/>
      <sheetName val="A2"/>
      <sheetName val="A1"/>
      <sheetName val="RECAP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F5F8-597A-4F5F-B9A0-73CB9254EA2C}">
  <sheetPr>
    <pageSetUpPr fitToPage="1"/>
  </sheetPr>
  <dimension ref="A1:AU63"/>
  <sheetViews>
    <sheetView tabSelected="1" view="pageBreakPreview" zoomScale="40" zoomScaleNormal="40" zoomScaleSheetLayoutView="4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20" sqref="E20"/>
    </sheetView>
  </sheetViews>
  <sheetFormatPr baseColWidth="10" defaultColWidth="10.77734375" defaultRowHeight="21" x14ac:dyDescent="0.4"/>
  <cols>
    <col min="1" max="1" width="6.21875" customWidth="1"/>
    <col min="2" max="2" width="62.6640625" style="10" bestFit="1" customWidth="1"/>
    <col min="3" max="4" width="28.77734375" style="11" bestFit="1" customWidth="1"/>
    <col min="5" max="10" width="25.77734375" style="12" customWidth="1"/>
    <col min="11" max="11" width="21.88671875" style="12" customWidth="1"/>
    <col min="12" max="12" width="16.5546875" style="12" customWidth="1"/>
    <col min="13" max="13" width="21.88671875" style="12" customWidth="1"/>
    <col min="14" max="14" width="3.33203125" customWidth="1"/>
    <col min="15" max="15" width="33.6640625" style="12" hidden="1" customWidth="1"/>
    <col min="16" max="16" width="10.77734375" hidden="1" customWidth="1"/>
    <col min="17" max="17" width="0" hidden="1" customWidth="1"/>
    <col min="18" max="18" width="26.6640625" customWidth="1"/>
    <col min="19" max="19" width="25.21875" customWidth="1"/>
    <col min="20" max="20" width="26.5546875" customWidth="1"/>
    <col min="21" max="21" width="14.44140625" customWidth="1"/>
  </cols>
  <sheetData>
    <row r="1" spans="1:47" s="3" customFormat="1" ht="54.6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s="7" customFormat="1" ht="30.6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3"/>
      <c r="S2" s="3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6"/>
      <c r="AU2" s="6"/>
    </row>
    <row r="3" spans="1:47" s="3" customFormat="1" x14ac:dyDescent="0.3">
      <c r="B3" s="8"/>
      <c r="C3" s="8"/>
      <c r="D3" s="9"/>
    </row>
    <row r="4" spans="1:47" ht="21.6" thickBot="1" x14ac:dyDescent="0.45"/>
    <row r="5" spans="1:47" s="13" customFormat="1" ht="42.6" customHeight="1" thickBot="1" x14ac:dyDescent="0.5">
      <c r="B5" s="14" t="s">
        <v>2</v>
      </c>
      <c r="C5" s="14" t="s">
        <v>3</v>
      </c>
      <c r="D5" s="15" t="s">
        <v>4</v>
      </c>
      <c r="E5" s="16" t="s">
        <v>5</v>
      </c>
      <c r="F5" s="16" t="s">
        <v>6</v>
      </c>
      <c r="G5" s="16" t="s">
        <v>7</v>
      </c>
      <c r="H5" s="16" t="s">
        <v>8</v>
      </c>
      <c r="I5" s="16" t="s">
        <v>9</v>
      </c>
      <c r="J5" s="16" t="s">
        <v>10</v>
      </c>
      <c r="K5" s="17" t="s">
        <v>11</v>
      </c>
      <c r="L5" s="17" t="s">
        <v>12</v>
      </c>
      <c r="M5" s="17" t="s">
        <v>13</v>
      </c>
      <c r="N5" s="18"/>
      <c r="O5" s="16" t="s">
        <v>14</v>
      </c>
      <c r="R5" s="19"/>
      <c r="S5" s="19"/>
    </row>
    <row r="6" spans="1:47" ht="21.75" customHeight="1" x14ac:dyDescent="0.4">
      <c r="A6" s="20" t="s">
        <v>15</v>
      </c>
      <c r="B6" s="21" t="s">
        <v>16</v>
      </c>
      <c r="C6" s="22" t="s">
        <v>17</v>
      </c>
      <c r="D6" s="23">
        <v>0.5</v>
      </c>
      <c r="E6" s="24">
        <v>24</v>
      </c>
      <c r="F6" s="24">
        <v>23</v>
      </c>
      <c r="G6" s="24">
        <v>0</v>
      </c>
      <c r="H6" s="24">
        <v>0</v>
      </c>
      <c r="I6" s="24">
        <v>0</v>
      </c>
      <c r="J6" s="24">
        <v>0</v>
      </c>
      <c r="K6" s="25">
        <v>47</v>
      </c>
      <c r="L6" s="26">
        <v>150</v>
      </c>
      <c r="M6" s="24">
        <f>+L$6*K6*D6</f>
        <v>3525</v>
      </c>
      <c r="O6" s="27">
        <v>125</v>
      </c>
      <c r="R6" s="13"/>
      <c r="S6" s="13"/>
      <c r="X6" s="24">
        <f>+[1]A3!BI8</f>
        <v>0</v>
      </c>
      <c r="Z6" s="24">
        <f>+[1]A1!BD8</f>
        <v>0</v>
      </c>
      <c r="AA6" s="24">
        <f>+[1]A2!BD8</f>
        <v>0</v>
      </c>
      <c r="AB6" s="24"/>
      <c r="AC6" s="24">
        <f>+[1]A4!AZ8</f>
        <v>0</v>
      </c>
      <c r="AD6" s="24">
        <f>+[1]A5!BD8</f>
        <v>0</v>
      </c>
    </row>
    <row r="7" spans="1:47" ht="21.75" customHeight="1" x14ac:dyDescent="0.4">
      <c r="A7" s="28"/>
      <c r="B7" s="21"/>
      <c r="C7" s="29" t="s">
        <v>18</v>
      </c>
      <c r="D7" s="30">
        <v>0.2</v>
      </c>
      <c r="E7" s="31">
        <v>0</v>
      </c>
      <c r="F7" s="31">
        <v>24</v>
      </c>
      <c r="G7" s="31">
        <v>0</v>
      </c>
      <c r="H7" s="31">
        <v>0</v>
      </c>
      <c r="I7" s="31">
        <v>0</v>
      </c>
      <c r="J7" s="31">
        <v>0</v>
      </c>
      <c r="K7" s="32">
        <v>24</v>
      </c>
      <c r="L7" s="33"/>
      <c r="M7" s="34">
        <f>+L$6*K7*D7</f>
        <v>720</v>
      </c>
      <c r="O7" s="35"/>
      <c r="R7" s="13"/>
      <c r="S7" s="13"/>
      <c r="X7" s="31">
        <f>+[1]A3!BI9</f>
        <v>0</v>
      </c>
      <c r="Z7" s="31">
        <f>+[1]A1!BD9</f>
        <v>0</v>
      </c>
      <c r="AA7" s="31">
        <f>+[1]A2!BD9</f>
        <v>0</v>
      </c>
      <c r="AB7" s="31"/>
      <c r="AC7" s="31">
        <f>+[1]A4!AZ9</f>
        <v>0</v>
      </c>
      <c r="AD7" s="31">
        <f>+[1]A5!BD9</f>
        <v>0</v>
      </c>
    </row>
    <row r="8" spans="1:47" ht="21.75" customHeight="1" x14ac:dyDescent="0.4">
      <c r="A8" s="28"/>
      <c r="B8" s="36"/>
      <c r="C8" s="29" t="s">
        <v>19</v>
      </c>
      <c r="D8" s="30">
        <v>0.15</v>
      </c>
      <c r="E8" s="31">
        <v>0</v>
      </c>
      <c r="F8" s="31">
        <v>24</v>
      </c>
      <c r="G8" s="31">
        <v>0</v>
      </c>
      <c r="H8" s="31">
        <v>0</v>
      </c>
      <c r="I8" s="31">
        <v>0</v>
      </c>
      <c r="J8" s="31">
        <v>0</v>
      </c>
      <c r="K8" s="32">
        <v>24</v>
      </c>
      <c r="L8" s="33"/>
      <c r="M8" s="34">
        <f>+L$6*K8*D8</f>
        <v>540</v>
      </c>
      <c r="O8" s="35"/>
      <c r="R8" s="37" t="str">
        <f>+A6</f>
        <v>POSEUR ZOUHAIR</v>
      </c>
      <c r="S8" s="38"/>
      <c r="X8" s="31">
        <f>+[1]A3!BI10</f>
        <v>0</v>
      </c>
      <c r="Z8" s="31">
        <f>+[1]A1!BD10</f>
        <v>0</v>
      </c>
      <c r="AA8" s="31">
        <f>+[1]A2!BD10</f>
        <v>0</v>
      </c>
      <c r="AB8" s="31"/>
      <c r="AC8" s="31">
        <f>+[1]A4!AZ10</f>
        <v>0</v>
      </c>
      <c r="AD8" s="31">
        <f>+[1]A5!BD10</f>
        <v>0</v>
      </c>
    </row>
    <row r="9" spans="1:47" ht="30.6" thickBot="1" x14ac:dyDescent="0.45">
      <c r="A9" s="28"/>
      <c r="B9" s="39"/>
      <c r="C9" s="40" t="s">
        <v>20</v>
      </c>
      <c r="D9" s="41">
        <v>0.15</v>
      </c>
      <c r="E9" s="42">
        <v>0</v>
      </c>
      <c r="F9" s="42">
        <v>23</v>
      </c>
      <c r="G9" s="42">
        <v>0</v>
      </c>
      <c r="H9" s="42">
        <v>0</v>
      </c>
      <c r="I9" s="42">
        <v>0</v>
      </c>
      <c r="J9" s="42">
        <v>0</v>
      </c>
      <c r="K9" s="42">
        <v>23</v>
      </c>
      <c r="L9" s="43"/>
      <c r="M9" s="44">
        <f>+L$6*K9*D9</f>
        <v>517.5</v>
      </c>
      <c r="O9" s="45"/>
      <c r="R9" s="46" t="s">
        <v>21</v>
      </c>
      <c r="S9" s="47">
        <f>9000+3000+5000+4000+5000+2000</f>
        <v>28000</v>
      </c>
      <c r="X9" s="42">
        <f>+[1]A3!BI11</f>
        <v>0</v>
      </c>
      <c r="Z9" s="42">
        <f>+[1]A1!BD11</f>
        <v>0</v>
      </c>
      <c r="AA9" s="42">
        <f>+[1]A2!BD11</f>
        <v>0</v>
      </c>
      <c r="AB9" s="42"/>
      <c r="AC9" s="42">
        <f>+[1]A4!AZ11</f>
        <v>0</v>
      </c>
      <c r="AD9" s="42">
        <f>+[1]A5!BD11</f>
        <v>0</v>
      </c>
    </row>
    <row r="10" spans="1:47" ht="21.75" customHeight="1" x14ac:dyDescent="0.4">
      <c r="A10" s="28"/>
      <c r="B10" s="21" t="s">
        <v>22</v>
      </c>
      <c r="C10" s="48" t="s">
        <v>17</v>
      </c>
      <c r="D10" s="23">
        <v>0.5</v>
      </c>
      <c r="E10" s="24">
        <v>123</v>
      </c>
      <c r="F10" s="24">
        <v>167</v>
      </c>
      <c r="G10" s="24">
        <v>0</v>
      </c>
      <c r="H10" s="24">
        <v>11</v>
      </c>
      <c r="I10" s="24">
        <v>0</v>
      </c>
      <c r="J10" s="24">
        <v>9</v>
      </c>
      <c r="K10" s="25">
        <v>310</v>
      </c>
      <c r="L10" s="26">
        <v>120</v>
      </c>
      <c r="M10" s="24">
        <f>+L$10*K10*D10</f>
        <v>18600</v>
      </c>
      <c r="O10" s="27">
        <v>789</v>
      </c>
      <c r="R10" s="46" t="s">
        <v>23</v>
      </c>
      <c r="S10" s="47">
        <f>SUM(M6:M17)-((D10*E10*L10)+(D11*E11*L10)+(D12*E12*L10)+(D13*E13*L10)+(D6*E6*L6)+(D7*E7*L6)+(D8*E8*L6)+(D9*E9*L6))</f>
        <v>32944.5</v>
      </c>
      <c r="T10" s="49" t="s">
        <v>24</v>
      </c>
      <c r="U10" s="47">
        <f>+S10*10%</f>
        <v>3294.4500000000003</v>
      </c>
      <c r="X10" s="24">
        <f>+[1]A3!BI12</f>
        <v>0</v>
      </c>
      <c r="Z10" s="24">
        <f>+[1]A1!BD12</f>
        <v>0</v>
      </c>
      <c r="AA10" s="24">
        <f>+[1]A2!BD12</f>
        <v>0</v>
      </c>
      <c r="AB10" s="24"/>
      <c r="AC10" s="24">
        <f>+[1]A4!AZ12</f>
        <v>0</v>
      </c>
      <c r="AD10" s="24">
        <f>+[1]A5!BD12</f>
        <v>0</v>
      </c>
    </row>
    <row r="11" spans="1:47" ht="21.75" customHeight="1" x14ac:dyDescent="0.4">
      <c r="A11" s="28"/>
      <c r="B11" s="21"/>
      <c r="C11" s="29" t="s">
        <v>18</v>
      </c>
      <c r="D11" s="30">
        <v>0.2</v>
      </c>
      <c r="E11" s="31">
        <v>0</v>
      </c>
      <c r="F11" s="31">
        <v>167</v>
      </c>
      <c r="G11" s="31">
        <v>0</v>
      </c>
      <c r="H11" s="31">
        <v>0</v>
      </c>
      <c r="I11" s="31">
        <v>0</v>
      </c>
      <c r="J11" s="31">
        <v>0</v>
      </c>
      <c r="K11" s="32">
        <v>167</v>
      </c>
      <c r="L11" s="33"/>
      <c r="M11" s="34">
        <f>+L$10*K11*D11</f>
        <v>4008</v>
      </c>
      <c r="O11" s="35"/>
      <c r="T11" s="49" t="s">
        <v>25</v>
      </c>
      <c r="U11" s="50">
        <f>S12-U10</f>
        <v>1650.0499999999997</v>
      </c>
      <c r="X11" s="31">
        <f>+[1]A3!BI13</f>
        <v>0</v>
      </c>
      <c r="Z11" s="31">
        <f>+[1]A1!BD13</f>
        <v>0</v>
      </c>
      <c r="AA11" s="31">
        <f>+[1]A2!BD13</f>
        <v>0</v>
      </c>
      <c r="AB11" s="31"/>
      <c r="AC11" s="31">
        <f>+[1]A4!AZ13</f>
        <v>0</v>
      </c>
      <c r="AD11" s="31">
        <f>+[1]A5!BD13</f>
        <v>0</v>
      </c>
    </row>
    <row r="12" spans="1:47" ht="21.75" customHeight="1" x14ac:dyDescent="0.4">
      <c r="A12" s="28"/>
      <c r="B12" s="36"/>
      <c r="C12" s="29" t="s">
        <v>19</v>
      </c>
      <c r="D12" s="30">
        <v>0.15</v>
      </c>
      <c r="E12" s="31">
        <v>0</v>
      </c>
      <c r="F12" s="31">
        <v>167</v>
      </c>
      <c r="G12" s="31">
        <v>0</v>
      </c>
      <c r="H12" s="31">
        <v>0</v>
      </c>
      <c r="I12" s="31">
        <v>0</v>
      </c>
      <c r="J12" s="31">
        <v>9</v>
      </c>
      <c r="K12" s="32">
        <v>176</v>
      </c>
      <c r="L12" s="33"/>
      <c r="M12" s="34">
        <f>+L$10*K12*D12</f>
        <v>3168</v>
      </c>
      <c r="O12" s="35"/>
      <c r="R12" s="46" t="s">
        <v>26</v>
      </c>
      <c r="S12" s="47">
        <f>+S10-S9</f>
        <v>4944.5</v>
      </c>
      <c r="T12" s="51"/>
      <c r="X12" s="31">
        <f>+[1]A3!BI14</f>
        <v>0</v>
      </c>
      <c r="Z12" s="31">
        <f>+[1]A1!BD14</f>
        <v>0</v>
      </c>
      <c r="AA12" s="31">
        <f>+[1]A2!BD14</f>
        <v>0</v>
      </c>
      <c r="AB12" s="31"/>
      <c r="AC12" s="31">
        <f>+[1]A4!AZ14</f>
        <v>0</v>
      </c>
      <c r="AD12" s="31">
        <f>+[1]A5!BD14</f>
        <v>0</v>
      </c>
    </row>
    <row r="13" spans="1:47" ht="30.6" thickBot="1" x14ac:dyDescent="0.45">
      <c r="A13" s="28"/>
      <c r="B13" s="39"/>
      <c r="C13" s="40" t="s">
        <v>27</v>
      </c>
      <c r="D13" s="41">
        <v>0.15</v>
      </c>
      <c r="E13" s="42">
        <v>0</v>
      </c>
      <c r="F13" s="42">
        <v>167</v>
      </c>
      <c r="G13" s="42">
        <v>0</v>
      </c>
      <c r="H13" s="42">
        <v>0</v>
      </c>
      <c r="I13" s="42">
        <v>0</v>
      </c>
      <c r="J13" s="42">
        <v>0</v>
      </c>
      <c r="K13" s="42">
        <v>167</v>
      </c>
      <c r="L13" s="43"/>
      <c r="M13" s="44">
        <f>+L$10*K13*D13</f>
        <v>3006</v>
      </c>
      <c r="O13" s="35"/>
      <c r="T13" s="51"/>
      <c r="X13" s="42">
        <f>+[1]A3!BI15</f>
        <v>0</v>
      </c>
      <c r="Z13" s="42">
        <f>+[1]A1!BD15</f>
        <v>0</v>
      </c>
      <c r="AA13" s="42">
        <f>+[1]A2!BD15</f>
        <v>0</v>
      </c>
      <c r="AB13" s="42"/>
      <c r="AC13" s="42">
        <f>+[1]A4!AZ15</f>
        <v>0</v>
      </c>
      <c r="AD13" s="42">
        <f>+[1]A5!BD15</f>
        <v>0</v>
      </c>
    </row>
    <row r="14" spans="1:47" ht="21.75" customHeight="1" x14ac:dyDescent="0.4">
      <c r="A14" s="28"/>
      <c r="B14" s="21" t="s">
        <v>28</v>
      </c>
      <c r="C14" s="48" t="s">
        <v>17</v>
      </c>
      <c r="D14" s="23">
        <v>0.5</v>
      </c>
      <c r="E14" s="24">
        <v>12</v>
      </c>
      <c r="F14" s="24">
        <v>10</v>
      </c>
      <c r="G14" s="24">
        <v>12</v>
      </c>
      <c r="H14" s="24">
        <v>13</v>
      </c>
      <c r="I14" s="24">
        <v>9</v>
      </c>
      <c r="J14" s="24">
        <v>0</v>
      </c>
      <c r="K14" s="25">
        <v>56</v>
      </c>
      <c r="L14" s="26">
        <v>150</v>
      </c>
      <c r="M14" s="25">
        <f>+L$14*K14*D14</f>
        <v>4200</v>
      </c>
      <c r="O14" s="27">
        <v>115</v>
      </c>
      <c r="T14" s="51"/>
      <c r="X14" s="24">
        <f>+[1]A3!BI16</f>
        <v>0</v>
      </c>
      <c r="Z14" s="24">
        <f>+[1]A1!BD16</f>
        <v>0</v>
      </c>
      <c r="AA14" s="24">
        <f>+[1]A2!BD16</f>
        <v>0</v>
      </c>
      <c r="AB14" s="24"/>
      <c r="AC14" s="24">
        <f>+[1]A4!AZ16</f>
        <v>0</v>
      </c>
      <c r="AD14" s="24">
        <f>+[1]A5!BD16</f>
        <v>0</v>
      </c>
    </row>
    <row r="15" spans="1:47" ht="21.75" customHeight="1" x14ac:dyDescent="0.4">
      <c r="A15" s="28"/>
      <c r="B15" s="21"/>
      <c r="C15" s="29" t="s">
        <v>18</v>
      </c>
      <c r="D15" s="30">
        <v>0.2</v>
      </c>
      <c r="E15" s="31">
        <v>12</v>
      </c>
      <c r="F15" s="31">
        <v>10</v>
      </c>
      <c r="G15" s="31">
        <v>0</v>
      </c>
      <c r="H15" s="31">
        <v>13</v>
      </c>
      <c r="I15" s="31">
        <v>9</v>
      </c>
      <c r="J15" s="31">
        <v>0</v>
      </c>
      <c r="K15" s="32">
        <v>44</v>
      </c>
      <c r="L15" s="33"/>
      <c r="M15" s="32">
        <f>+L$14*K15*D15</f>
        <v>1320</v>
      </c>
      <c r="O15" s="35"/>
      <c r="T15" s="51"/>
      <c r="X15" s="31">
        <f>+[1]A3!BI17</f>
        <v>0</v>
      </c>
      <c r="Z15" s="31">
        <f>+[1]A1!BD17</f>
        <v>0</v>
      </c>
      <c r="AA15" s="31">
        <f>+[1]A2!BD17</f>
        <v>0</v>
      </c>
      <c r="AB15" s="31"/>
      <c r="AC15" s="31">
        <f>+[1]A4!AZ17</f>
        <v>0</v>
      </c>
      <c r="AD15" s="31">
        <f>+[1]A5!BD17</f>
        <v>0</v>
      </c>
    </row>
    <row r="16" spans="1:47" ht="21.75" customHeight="1" x14ac:dyDescent="0.4">
      <c r="A16" s="28"/>
      <c r="B16" s="36"/>
      <c r="C16" s="29" t="s">
        <v>19</v>
      </c>
      <c r="D16" s="30">
        <v>0.15</v>
      </c>
      <c r="E16" s="31">
        <v>12</v>
      </c>
      <c r="F16" s="31">
        <v>10</v>
      </c>
      <c r="G16" s="31">
        <v>12</v>
      </c>
      <c r="H16" s="31">
        <v>13</v>
      </c>
      <c r="I16" s="31">
        <v>9</v>
      </c>
      <c r="J16" s="31">
        <v>0</v>
      </c>
      <c r="K16" s="32">
        <v>56</v>
      </c>
      <c r="L16" s="33"/>
      <c r="M16" s="32">
        <f>+L$14*K16*D16</f>
        <v>1260</v>
      </c>
      <c r="O16" s="35"/>
      <c r="T16" s="51"/>
      <c r="X16" s="31">
        <f>+[1]A3!BI18</f>
        <v>0</v>
      </c>
      <c r="Z16" s="31">
        <f>+[1]A1!BD18</f>
        <v>0</v>
      </c>
      <c r="AA16" s="31">
        <f>+[1]A2!BD18</f>
        <v>0</v>
      </c>
      <c r="AB16" s="31"/>
      <c r="AC16" s="31">
        <f>+[1]A4!AZ18</f>
        <v>0</v>
      </c>
      <c r="AD16" s="31">
        <f>+[1]A5!BD18</f>
        <v>0</v>
      </c>
    </row>
    <row r="17" spans="1:30" ht="30.6" thickBot="1" x14ac:dyDescent="0.45">
      <c r="A17" s="52"/>
      <c r="B17" s="39"/>
      <c r="C17" s="40" t="s">
        <v>29</v>
      </c>
      <c r="D17" s="41">
        <v>0.15</v>
      </c>
      <c r="E17" s="42">
        <v>12</v>
      </c>
      <c r="F17" s="42">
        <v>10</v>
      </c>
      <c r="G17" s="42">
        <v>12</v>
      </c>
      <c r="H17" s="42">
        <v>13</v>
      </c>
      <c r="I17" s="42">
        <v>9</v>
      </c>
      <c r="J17" s="42">
        <v>0</v>
      </c>
      <c r="K17" s="42">
        <v>56</v>
      </c>
      <c r="L17" s="43"/>
      <c r="M17" s="42">
        <f>+L$14*K17*D17</f>
        <v>1260</v>
      </c>
      <c r="O17" s="45"/>
      <c r="T17" s="51"/>
      <c r="X17" s="42">
        <f>+[1]A3!BI19</f>
        <v>0</v>
      </c>
      <c r="Z17" s="42">
        <f>+[1]A1!BD19</f>
        <v>0</v>
      </c>
      <c r="AA17" s="42">
        <f>+[1]A2!BD19</f>
        <v>0</v>
      </c>
      <c r="AB17" s="42"/>
      <c r="AC17" s="42">
        <f>+[1]A4!AZ19</f>
        <v>0</v>
      </c>
      <c r="AD17" s="42">
        <f>+[1]A5!BD19</f>
        <v>0</v>
      </c>
    </row>
    <row r="18" spans="1:30" ht="30" customHeight="1" x14ac:dyDescent="0.4">
      <c r="A18" s="53" t="s">
        <v>30</v>
      </c>
      <c r="B18" s="21" t="s">
        <v>31</v>
      </c>
      <c r="C18" s="54" t="s">
        <v>32</v>
      </c>
      <c r="D18" s="55">
        <v>0.4</v>
      </c>
      <c r="E18" s="24">
        <v>289</v>
      </c>
      <c r="F18" s="24">
        <v>263</v>
      </c>
      <c r="G18" s="24">
        <v>0</v>
      </c>
      <c r="H18" s="24">
        <v>0</v>
      </c>
      <c r="I18" s="24">
        <v>0</v>
      </c>
      <c r="J18" s="24">
        <v>0</v>
      </c>
      <c r="K18" s="25">
        <v>552</v>
      </c>
      <c r="L18" s="26">
        <v>60</v>
      </c>
      <c r="M18" s="25">
        <f t="shared" ref="M18:M23" si="0">+L$18*K18*D18</f>
        <v>13248</v>
      </c>
      <c r="N18" s="56"/>
      <c r="O18" s="27">
        <v>401</v>
      </c>
      <c r="T18" s="51"/>
      <c r="X18" s="24">
        <f>+[1]A3!BI20</f>
        <v>0</v>
      </c>
      <c r="Z18" s="24">
        <f>+[1]A1!BD20</f>
        <v>0</v>
      </c>
      <c r="AA18" s="24">
        <f>+[1]A2!BD20</f>
        <v>0</v>
      </c>
      <c r="AB18" s="24"/>
      <c r="AC18" s="24">
        <f>+[1]A4!AZ20</f>
        <v>0</v>
      </c>
      <c r="AD18" s="24">
        <f>+[1]A5!BD20</f>
        <v>0</v>
      </c>
    </row>
    <row r="19" spans="1:30" ht="21.75" customHeight="1" x14ac:dyDescent="0.4">
      <c r="A19" s="57"/>
      <c r="B19" s="21"/>
      <c r="C19" s="29" t="s">
        <v>33</v>
      </c>
      <c r="D19" s="58">
        <v>0.1</v>
      </c>
      <c r="E19" s="31">
        <v>289</v>
      </c>
      <c r="F19" s="31">
        <v>263</v>
      </c>
      <c r="G19" s="31">
        <v>0</v>
      </c>
      <c r="H19" s="31">
        <v>0</v>
      </c>
      <c r="I19" s="31">
        <v>0</v>
      </c>
      <c r="J19" s="31">
        <v>0</v>
      </c>
      <c r="K19" s="32">
        <v>552</v>
      </c>
      <c r="L19" s="33"/>
      <c r="M19" s="32">
        <f t="shared" si="0"/>
        <v>3312</v>
      </c>
      <c r="O19" s="35"/>
      <c r="R19" s="37" t="str">
        <f>+A18</f>
        <v xml:space="preserve">POSEUR ZEMOURI </v>
      </c>
      <c r="S19" s="38"/>
      <c r="T19" s="51"/>
      <c r="X19" s="31">
        <f>+[1]A3!BI21</f>
        <v>0</v>
      </c>
      <c r="Z19" s="31">
        <f>+[1]A1!BD21</f>
        <v>0</v>
      </c>
      <c r="AA19" s="31">
        <f>+[1]A2!BD21</f>
        <v>0</v>
      </c>
      <c r="AB19" s="31"/>
      <c r="AC19" s="31">
        <f>+[1]A4!AZ21</f>
        <v>0</v>
      </c>
      <c r="AD19" s="31">
        <f>+[1]A5!BD21</f>
        <v>0</v>
      </c>
    </row>
    <row r="20" spans="1:30" ht="21.75" customHeight="1" x14ac:dyDescent="0.4">
      <c r="A20" s="57"/>
      <c r="B20" s="21"/>
      <c r="C20" s="29" t="s">
        <v>34</v>
      </c>
      <c r="D20" s="58">
        <v>0.2</v>
      </c>
      <c r="E20" s="31">
        <v>286</v>
      </c>
      <c r="F20" s="31">
        <v>256</v>
      </c>
      <c r="G20" s="31">
        <v>0</v>
      </c>
      <c r="H20" s="31">
        <v>0</v>
      </c>
      <c r="I20" s="31">
        <v>0</v>
      </c>
      <c r="J20" s="31">
        <v>0</v>
      </c>
      <c r="K20" s="32">
        <v>542</v>
      </c>
      <c r="L20" s="33"/>
      <c r="M20" s="32">
        <f t="shared" si="0"/>
        <v>6504</v>
      </c>
      <c r="O20" s="35"/>
      <c r="R20" s="46" t="s">
        <v>21</v>
      </c>
      <c r="S20" s="47">
        <f>1500+3000+5000+4000+6000+5000+7000+2000+2000</f>
        <v>35500</v>
      </c>
      <c r="T20" s="51"/>
      <c r="X20" s="31">
        <f>+[1]A3!BI22</f>
        <v>0</v>
      </c>
      <c r="Z20" s="31">
        <f>+[1]A1!BD22</f>
        <v>0</v>
      </c>
      <c r="AA20" s="31">
        <f>+[1]A2!BD22</f>
        <v>0</v>
      </c>
      <c r="AB20" s="31"/>
      <c r="AC20" s="31">
        <f>+[1]A4!AZ22</f>
        <v>0</v>
      </c>
      <c r="AD20" s="31">
        <f>+[1]A5!BD22</f>
        <v>0</v>
      </c>
    </row>
    <row r="21" spans="1:30" ht="21.75" customHeight="1" x14ac:dyDescent="0.4">
      <c r="A21" s="57"/>
      <c r="B21" s="36"/>
      <c r="C21" s="29" t="s">
        <v>35</v>
      </c>
      <c r="D21" s="58">
        <v>0.1</v>
      </c>
      <c r="E21" s="31">
        <v>0</v>
      </c>
      <c r="F21" s="31">
        <v>263</v>
      </c>
      <c r="G21" s="31">
        <v>0</v>
      </c>
      <c r="H21" s="31">
        <v>0</v>
      </c>
      <c r="I21" s="31">
        <v>0</v>
      </c>
      <c r="J21" s="31">
        <v>0</v>
      </c>
      <c r="K21" s="32">
        <v>263</v>
      </c>
      <c r="L21" s="33"/>
      <c r="M21" s="32">
        <f t="shared" si="0"/>
        <v>1578</v>
      </c>
      <c r="O21" s="35"/>
      <c r="R21" s="46" t="s">
        <v>23</v>
      </c>
      <c r="S21" s="47">
        <f>SUM(M18:M27)+((D10*E10*L10)+(D11*E11*L10)+(D12*E12*L10)+(D13*E13*L10)+(D6*E6*L6)+(D7*E7*L6)+(D8*E8*L6)+(D9*E9*L6))</f>
        <v>51744</v>
      </c>
      <c r="T21" s="49" t="s">
        <v>24</v>
      </c>
      <c r="U21" s="47">
        <f>+S21*10%</f>
        <v>5174.4000000000005</v>
      </c>
      <c r="X21" s="31">
        <f>+[1]A3!BI23</f>
        <v>0</v>
      </c>
      <c r="Z21" s="31">
        <f>+[1]A1!BD23</f>
        <v>0</v>
      </c>
      <c r="AA21" s="31">
        <f>+[1]A2!BD23</f>
        <v>0</v>
      </c>
      <c r="AB21" s="31"/>
      <c r="AC21" s="31">
        <f>+[1]A4!AZ23</f>
        <v>0</v>
      </c>
      <c r="AD21" s="31">
        <f>+[1]A5!BD23</f>
        <v>0</v>
      </c>
    </row>
    <row r="22" spans="1:30" ht="21.75" customHeight="1" x14ac:dyDescent="0.4">
      <c r="A22" s="57"/>
      <c r="B22" s="59"/>
      <c r="C22" s="60" t="s">
        <v>36</v>
      </c>
      <c r="D22" s="61">
        <v>0.1</v>
      </c>
      <c r="E22" s="31">
        <v>0</v>
      </c>
      <c r="F22" s="31">
        <v>51</v>
      </c>
      <c r="G22" s="31">
        <v>0</v>
      </c>
      <c r="H22" s="31">
        <v>0</v>
      </c>
      <c r="I22" s="31">
        <v>0</v>
      </c>
      <c r="J22" s="31">
        <v>0</v>
      </c>
      <c r="K22" s="32">
        <v>51</v>
      </c>
      <c r="L22" s="33"/>
      <c r="M22" s="32">
        <f t="shared" si="0"/>
        <v>306</v>
      </c>
      <c r="O22" s="35"/>
      <c r="R22" s="46"/>
      <c r="S22" s="47"/>
      <c r="T22" s="49" t="s">
        <v>37</v>
      </c>
      <c r="U22" s="50">
        <f>S23-U21</f>
        <v>11069.599999999999</v>
      </c>
      <c r="X22" s="31">
        <f>+[1]A3!BI24</f>
        <v>0</v>
      </c>
      <c r="Z22" s="31">
        <f>+[1]A1!BD24</f>
        <v>0</v>
      </c>
      <c r="AA22" s="31">
        <f>+[1]A2!BD24</f>
        <v>0</v>
      </c>
      <c r="AB22" s="31"/>
      <c r="AC22" s="31">
        <f>+[1]A4!AZ24</f>
        <v>0</v>
      </c>
      <c r="AD22" s="31">
        <f>+[1]A5!BD24</f>
        <v>0</v>
      </c>
    </row>
    <row r="23" spans="1:30" ht="21.75" customHeight="1" thickBot="1" x14ac:dyDescent="0.45">
      <c r="A23" s="57"/>
      <c r="B23" s="39"/>
      <c r="C23" s="62" t="s">
        <v>38</v>
      </c>
      <c r="D23" s="63">
        <v>0.1</v>
      </c>
      <c r="E23" s="42">
        <v>0</v>
      </c>
      <c r="F23" s="42">
        <v>176</v>
      </c>
      <c r="G23" s="42">
        <v>0</v>
      </c>
      <c r="H23" s="42">
        <v>0</v>
      </c>
      <c r="I23" s="42">
        <v>0</v>
      </c>
      <c r="J23" s="42">
        <v>0</v>
      </c>
      <c r="K23" s="42">
        <v>176</v>
      </c>
      <c r="L23" s="43"/>
      <c r="M23" s="42">
        <f t="shared" si="0"/>
        <v>1056</v>
      </c>
      <c r="O23" s="45"/>
      <c r="R23" s="46" t="s">
        <v>26</v>
      </c>
      <c r="S23" s="47">
        <f>+S21-S20</f>
        <v>16244</v>
      </c>
      <c r="X23" s="42">
        <f>+[1]A3!BI25</f>
        <v>0</v>
      </c>
      <c r="Z23" s="42">
        <f>+[1]A1!BD25</f>
        <v>0</v>
      </c>
      <c r="AA23" s="42">
        <f>+[1]A2!BD25</f>
        <v>0</v>
      </c>
      <c r="AB23" s="42"/>
      <c r="AC23" s="42">
        <f>+[1]A4!AZ25</f>
        <v>0</v>
      </c>
      <c r="AD23" s="42">
        <f>+[1]A5!BD25</f>
        <v>0</v>
      </c>
    </row>
    <row r="24" spans="1:30" ht="21.75" customHeight="1" x14ac:dyDescent="0.4">
      <c r="A24" s="57"/>
      <c r="B24" s="21" t="s">
        <v>39</v>
      </c>
      <c r="C24" s="48" t="s">
        <v>40</v>
      </c>
      <c r="D24" s="58">
        <v>0.5</v>
      </c>
      <c r="E24" s="24">
        <v>120</v>
      </c>
      <c r="F24" s="24">
        <v>384</v>
      </c>
      <c r="G24" s="24">
        <v>0</v>
      </c>
      <c r="H24" s="24">
        <v>0</v>
      </c>
      <c r="I24" s="24">
        <v>0</v>
      </c>
      <c r="J24" s="24">
        <v>0</v>
      </c>
      <c r="K24" s="25">
        <v>504</v>
      </c>
      <c r="L24" s="26">
        <v>60</v>
      </c>
      <c r="M24" s="25">
        <f>+L$24*K24*D24</f>
        <v>15120</v>
      </c>
      <c r="N24" s="56"/>
      <c r="O24" s="27">
        <v>68</v>
      </c>
      <c r="X24" s="24">
        <f>+[1]A3!BI26</f>
        <v>0</v>
      </c>
      <c r="Z24" s="24">
        <f>+[1]A1!BD26</f>
        <v>0</v>
      </c>
      <c r="AA24" s="24">
        <f>+[1]A2!BD26</f>
        <v>0</v>
      </c>
      <c r="AB24" s="24"/>
      <c r="AC24" s="24">
        <f>+[1]A4!AZ26</f>
        <v>0</v>
      </c>
      <c r="AD24" s="24">
        <f>+[1]A5!BD26</f>
        <v>0</v>
      </c>
    </row>
    <row r="25" spans="1:30" ht="21.75" customHeight="1" x14ac:dyDescent="0.4">
      <c r="A25" s="57"/>
      <c r="B25" s="36"/>
      <c r="C25" s="29" t="s">
        <v>41</v>
      </c>
      <c r="D25" s="58">
        <v>0.2</v>
      </c>
      <c r="E25" s="31">
        <v>120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2">
        <v>120</v>
      </c>
      <c r="L25" s="33"/>
      <c r="M25" s="32">
        <f>+L$24*K25*D25</f>
        <v>1440</v>
      </c>
      <c r="O25" s="35"/>
      <c r="X25" s="31">
        <f>+[1]A3!BI27</f>
        <v>0</v>
      </c>
      <c r="Z25" s="31">
        <f>+[1]A1!BD27</f>
        <v>0</v>
      </c>
      <c r="AA25" s="31">
        <f>+[1]A2!BD27</f>
        <v>0</v>
      </c>
      <c r="AB25" s="31"/>
      <c r="AC25" s="31">
        <f>+[1]A4!AZ27</f>
        <v>0</v>
      </c>
      <c r="AD25" s="31">
        <f>+[1]A5!BD27</f>
        <v>0</v>
      </c>
    </row>
    <row r="26" spans="1:30" ht="21.75" customHeight="1" x14ac:dyDescent="0.4">
      <c r="A26" s="57"/>
      <c r="B26" s="59"/>
      <c r="C26" s="60" t="s">
        <v>36</v>
      </c>
      <c r="D26" s="61">
        <v>0.1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2">
        <v>0</v>
      </c>
      <c r="L26" s="33"/>
      <c r="M26" s="32">
        <f>+L$24*K26*D26</f>
        <v>0</v>
      </c>
      <c r="O26" s="35"/>
      <c r="X26" s="31">
        <f>+[1]A3!BI28</f>
        <v>0</v>
      </c>
      <c r="Z26" s="31">
        <f>+[1]A1!BD28</f>
        <v>0</v>
      </c>
      <c r="AA26" s="31">
        <f>+[1]A2!BD28</f>
        <v>0</v>
      </c>
      <c r="AB26" s="31"/>
      <c r="AC26" s="31">
        <f>+[1]A4!AZ28</f>
        <v>0</v>
      </c>
      <c r="AD26" s="31">
        <f>+[1]A5!BD28</f>
        <v>0</v>
      </c>
    </row>
    <row r="27" spans="1:30" ht="21.75" customHeight="1" thickBot="1" x14ac:dyDescent="0.45">
      <c r="A27" s="57"/>
      <c r="B27" s="39"/>
      <c r="C27" s="62" t="s">
        <v>38</v>
      </c>
      <c r="D27" s="63">
        <v>0.1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3"/>
      <c r="M27" s="42">
        <f>+L$24*K27*D27</f>
        <v>0</v>
      </c>
      <c r="O27" s="45"/>
      <c r="X27" s="42">
        <f>+[1]A3!BI29</f>
        <v>0</v>
      </c>
      <c r="Z27" s="42">
        <f>+[1]A1!BD29</f>
        <v>0</v>
      </c>
      <c r="AA27" s="42">
        <f>+[1]A2!BD29</f>
        <v>0</v>
      </c>
      <c r="AB27" s="42"/>
      <c r="AC27" s="42">
        <f>+[1]A4!AZ29</f>
        <v>0</v>
      </c>
      <c r="AD27" s="42">
        <f>+[1]A5!BD29</f>
        <v>0</v>
      </c>
    </row>
    <row r="28" spans="1:30" ht="21.75" customHeight="1" x14ac:dyDescent="0.4">
      <c r="A28" s="57"/>
      <c r="B28" s="21" t="s">
        <v>42</v>
      </c>
      <c r="C28" s="48" t="s">
        <v>17</v>
      </c>
      <c r="D28" s="58">
        <v>0.9</v>
      </c>
      <c r="E28" s="24">
        <v>0</v>
      </c>
      <c r="F28" s="24">
        <v>12</v>
      </c>
      <c r="G28" s="24">
        <v>0</v>
      </c>
      <c r="H28" s="24">
        <v>12</v>
      </c>
      <c r="I28" s="24">
        <v>12</v>
      </c>
      <c r="J28" s="24">
        <v>18</v>
      </c>
      <c r="K28" s="25">
        <v>54</v>
      </c>
      <c r="L28" s="26">
        <v>40</v>
      </c>
      <c r="M28" s="25">
        <f>+L$28*K28*D28</f>
        <v>1944</v>
      </c>
      <c r="N28" s="56"/>
      <c r="O28" s="27">
        <v>70</v>
      </c>
      <c r="X28" s="24">
        <f>+[1]A3!BI30</f>
        <v>0</v>
      </c>
      <c r="Z28" s="24">
        <f>+[1]A1!BD30</f>
        <v>0</v>
      </c>
      <c r="AA28" s="24">
        <f>+[1]A2!BD30</f>
        <v>0</v>
      </c>
      <c r="AB28" s="24"/>
      <c r="AC28" s="24">
        <f>+[1]A4!AZ30</f>
        <v>0</v>
      </c>
      <c r="AD28" s="24">
        <f>+[1]A5!BD30</f>
        <v>0</v>
      </c>
    </row>
    <row r="29" spans="1:30" ht="21.75" customHeight="1" thickBot="1" x14ac:dyDescent="0.45">
      <c r="A29" s="64"/>
      <c r="B29" s="39"/>
      <c r="C29" s="62" t="s">
        <v>43</v>
      </c>
      <c r="D29" s="65">
        <v>0.1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3"/>
      <c r="M29" s="42">
        <f>+L$28*K29*D29</f>
        <v>0</v>
      </c>
      <c r="O29" s="45"/>
      <c r="X29" s="42">
        <f>+[1]A3!BI31</f>
        <v>0</v>
      </c>
      <c r="Z29" s="42">
        <f>+[1]A1!BD31</f>
        <v>0</v>
      </c>
      <c r="AA29" s="42">
        <f>+[1]A2!BD31</f>
        <v>0</v>
      </c>
      <c r="AB29" s="42"/>
      <c r="AC29" s="42">
        <f>+[1]A4!AZ31</f>
        <v>0</v>
      </c>
      <c r="AD29" s="42">
        <f>+[1]A5!BD31</f>
        <v>0</v>
      </c>
    </row>
    <row r="30" spans="1:30" ht="21.75" customHeight="1" x14ac:dyDescent="0.4">
      <c r="A30" s="66" t="s">
        <v>44</v>
      </c>
      <c r="B30" s="21" t="s">
        <v>45</v>
      </c>
      <c r="C30" s="22" t="s">
        <v>46</v>
      </c>
      <c r="D30" s="67">
        <v>0.3</v>
      </c>
      <c r="E30" s="24">
        <v>6720</v>
      </c>
      <c r="F30" s="24">
        <v>8144</v>
      </c>
      <c r="G30" s="24">
        <v>0</v>
      </c>
      <c r="H30" s="24">
        <v>4082</v>
      </c>
      <c r="I30" s="24">
        <v>5955</v>
      </c>
      <c r="J30" s="24">
        <v>0</v>
      </c>
      <c r="K30" s="25">
        <v>24901</v>
      </c>
      <c r="L30" s="26"/>
      <c r="M30" s="24">
        <f>+L$30*K30*D30</f>
        <v>0</v>
      </c>
      <c r="O30" s="27">
        <v>124</v>
      </c>
      <c r="X30" s="24">
        <f>+[1]A3!BI32</f>
        <v>0</v>
      </c>
      <c r="Z30" s="24">
        <f>+[1]A1!BD32</f>
        <v>0</v>
      </c>
      <c r="AA30" s="24">
        <f>+[1]A2!BD32</f>
        <v>0</v>
      </c>
      <c r="AB30" s="24"/>
      <c r="AC30" s="24">
        <f>+[1]A4!AZ32</f>
        <v>0</v>
      </c>
      <c r="AD30" s="24">
        <f>+[1]A5!BD32</f>
        <v>0</v>
      </c>
    </row>
    <row r="31" spans="1:30" ht="21.75" customHeight="1" x14ac:dyDescent="0.4">
      <c r="A31" s="68"/>
      <c r="B31" s="36"/>
      <c r="C31" s="48" t="s">
        <v>47</v>
      </c>
      <c r="D31" s="69">
        <v>0.3</v>
      </c>
      <c r="E31" s="31">
        <v>6720</v>
      </c>
      <c r="F31" s="31">
        <v>8144</v>
      </c>
      <c r="G31" s="31">
        <v>0</v>
      </c>
      <c r="H31" s="31">
        <v>4082</v>
      </c>
      <c r="I31" s="31">
        <v>5955</v>
      </c>
      <c r="J31" s="31">
        <v>0</v>
      </c>
      <c r="K31" s="32">
        <v>24901</v>
      </c>
      <c r="L31" s="33"/>
      <c r="M31" s="31">
        <f>+L$30*K31*D31</f>
        <v>0</v>
      </c>
      <c r="O31" s="35"/>
      <c r="X31" s="31">
        <f>+[1]A3!BI33</f>
        <v>0</v>
      </c>
      <c r="Z31" s="31">
        <f>+[1]A1!BD33</f>
        <v>0</v>
      </c>
      <c r="AA31" s="31">
        <f>+[1]A2!BD33</f>
        <v>0</v>
      </c>
      <c r="AB31" s="31"/>
      <c r="AC31" s="31">
        <f>+[1]A4!AZ33</f>
        <v>0</v>
      </c>
      <c r="AD31" s="31">
        <f>+[1]A5!BD33</f>
        <v>0</v>
      </c>
    </row>
    <row r="32" spans="1:30" ht="21.75" customHeight="1" x14ac:dyDescent="0.4">
      <c r="A32" s="68"/>
      <c r="B32" s="59"/>
      <c r="C32" s="48" t="s">
        <v>48</v>
      </c>
      <c r="D32" s="69">
        <v>0.3</v>
      </c>
      <c r="E32" s="31">
        <v>0</v>
      </c>
      <c r="F32" s="31">
        <v>15931</v>
      </c>
      <c r="G32" s="31">
        <v>0</v>
      </c>
      <c r="H32" s="31">
        <v>8164</v>
      </c>
      <c r="I32" s="31">
        <v>11910</v>
      </c>
      <c r="J32" s="31">
        <v>0</v>
      </c>
      <c r="K32" s="32">
        <v>36005</v>
      </c>
      <c r="L32" s="33"/>
      <c r="M32" s="31">
        <f>+L$30*K32*D32</f>
        <v>0</v>
      </c>
      <c r="O32" s="35"/>
      <c r="X32" s="31">
        <f>+[1]A3!BI34</f>
        <v>0</v>
      </c>
      <c r="Z32" s="31">
        <f>+[1]A1!BD34</f>
        <v>0</v>
      </c>
      <c r="AA32" s="31">
        <f>+[1]A2!BD34</f>
        <v>0</v>
      </c>
      <c r="AB32" s="31"/>
      <c r="AC32" s="31">
        <f>+[1]A4!AZ34</f>
        <v>0</v>
      </c>
      <c r="AD32" s="31">
        <f>+[1]A5!BD34</f>
        <v>0</v>
      </c>
    </row>
    <row r="33" spans="1:30" ht="21.75" customHeight="1" thickBot="1" x14ac:dyDescent="0.45">
      <c r="A33" s="70"/>
      <c r="B33" s="59"/>
      <c r="C33" s="71" t="s">
        <v>49</v>
      </c>
      <c r="D33" s="72">
        <v>0.1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73">
        <v>0</v>
      </c>
      <c r="L33" s="43"/>
      <c r="M33" s="42">
        <f>+L$30*K33*D33</f>
        <v>0</v>
      </c>
      <c r="O33" s="45"/>
      <c r="X33" s="42">
        <f>+[1]A3!BI35</f>
        <v>0</v>
      </c>
      <c r="Z33" s="42">
        <f>+[1]A1!BD35</f>
        <v>0</v>
      </c>
      <c r="AA33" s="42">
        <f>+[1]A2!BD35</f>
        <v>0</v>
      </c>
      <c r="AB33" s="42"/>
      <c r="AC33" s="42">
        <f>+[1]A4!AZ35</f>
        <v>0</v>
      </c>
      <c r="AD33" s="42">
        <f>+[1]A5!BD35</f>
        <v>0</v>
      </c>
    </row>
    <row r="34" spans="1:30" ht="21.75" customHeight="1" x14ac:dyDescent="0.4">
      <c r="A34" s="66" t="s">
        <v>50</v>
      </c>
      <c r="B34" s="59"/>
      <c r="C34" s="22" t="s">
        <v>51</v>
      </c>
      <c r="D34" s="74">
        <v>0.6</v>
      </c>
      <c r="E34" s="34">
        <v>0</v>
      </c>
      <c r="F34" s="34">
        <v>8144</v>
      </c>
      <c r="G34" s="34">
        <v>0</v>
      </c>
      <c r="H34" s="34">
        <v>4082</v>
      </c>
      <c r="I34" s="34">
        <v>225</v>
      </c>
      <c r="J34" s="34">
        <v>0</v>
      </c>
      <c r="K34" s="24">
        <v>12451</v>
      </c>
      <c r="L34" s="33"/>
      <c r="M34" s="24">
        <f>+L$34*K34*D34</f>
        <v>0</v>
      </c>
      <c r="O34" s="27">
        <v>124</v>
      </c>
      <c r="X34" s="34">
        <f>+[1]A3!BI36</f>
        <v>0</v>
      </c>
      <c r="Z34" s="34">
        <f>+[1]A1!BD36</f>
        <v>0</v>
      </c>
      <c r="AA34" s="34">
        <f>+[1]A2!BD36</f>
        <v>0</v>
      </c>
      <c r="AB34" s="34"/>
      <c r="AC34" s="34">
        <f>+[1]A4!AZ36</f>
        <v>0</v>
      </c>
      <c r="AD34" s="34">
        <f>+[1]A5!BD36</f>
        <v>0</v>
      </c>
    </row>
    <row r="35" spans="1:30" ht="21.75" customHeight="1" x14ac:dyDescent="0.4">
      <c r="A35" s="68"/>
      <c r="B35" s="59"/>
      <c r="C35" s="48" t="s">
        <v>52</v>
      </c>
      <c r="D35" s="69">
        <v>0.1</v>
      </c>
      <c r="E35" s="34">
        <v>0</v>
      </c>
      <c r="F35" s="34">
        <v>23</v>
      </c>
      <c r="G35" s="31">
        <v>0</v>
      </c>
      <c r="H35" s="34">
        <v>0</v>
      </c>
      <c r="I35" s="34">
        <v>1</v>
      </c>
      <c r="J35" s="34">
        <v>0</v>
      </c>
      <c r="K35" s="34">
        <v>24</v>
      </c>
      <c r="L35" s="33"/>
      <c r="M35" s="32">
        <f>+L$34*K35*D35</f>
        <v>0</v>
      </c>
      <c r="O35" s="35"/>
      <c r="X35" s="31">
        <f>+[1]A3!BI37</f>
        <v>0</v>
      </c>
      <c r="Z35" s="31">
        <f>+[1]A1!BD37</f>
        <v>0</v>
      </c>
      <c r="AA35" s="31">
        <f>+[1]A2!BD37</f>
        <v>0</v>
      </c>
      <c r="AB35" s="31"/>
      <c r="AC35" s="31">
        <f>+[1]A4!AZ37</f>
        <v>0</v>
      </c>
      <c r="AD35" s="31">
        <f>+[1]A5!BD37</f>
        <v>0</v>
      </c>
    </row>
    <row r="36" spans="1:30" ht="21.75" customHeight="1" x14ac:dyDescent="0.4">
      <c r="A36" s="68"/>
      <c r="B36" s="59"/>
      <c r="C36" s="48" t="s">
        <v>53</v>
      </c>
      <c r="D36" s="69">
        <v>0.1</v>
      </c>
      <c r="E36" s="34">
        <v>0</v>
      </c>
      <c r="F36" s="34">
        <v>23</v>
      </c>
      <c r="G36" s="31">
        <v>0</v>
      </c>
      <c r="H36" s="34">
        <v>5</v>
      </c>
      <c r="I36" s="34">
        <v>1</v>
      </c>
      <c r="J36" s="34">
        <v>0</v>
      </c>
      <c r="K36" s="34">
        <v>29</v>
      </c>
      <c r="L36" s="33"/>
      <c r="M36" s="32">
        <f>+L$34*K36*D36</f>
        <v>0</v>
      </c>
      <c r="O36" s="35"/>
      <c r="X36" s="31">
        <f>+[1]A3!BI38</f>
        <v>0</v>
      </c>
      <c r="Z36" s="31">
        <f>+[1]A1!BD38</f>
        <v>0</v>
      </c>
      <c r="AA36" s="31">
        <f>+[1]A2!BD38</f>
        <v>0</v>
      </c>
      <c r="AB36" s="31"/>
      <c r="AC36" s="31">
        <f>+[1]A4!AZ38</f>
        <v>0</v>
      </c>
      <c r="AD36" s="31">
        <f>+[1]A5!BD38</f>
        <v>0</v>
      </c>
    </row>
    <row r="37" spans="1:30" ht="21.75" customHeight="1" x14ac:dyDescent="0.4">
      <c r="A37" s="68"/>
      <c r="B37" s="59"/>
      <c r="C37" s="48" t="s">
        <v>54</v>
      </c>
      <c r="D37" s="69">
        <v>0.1</v>
      </c>
      <c r="E37" s="34">
        <v>0</v>
      </c>
      <c r="F37" s="34">
        <v>23</v>
      </c>
      <c r="G37" s="31">
        <v>0</v>
      </c>
      <c r="H37" s="34">
        <v>17</v>
      </c>
      <c r="I37" s="34">
        <v>1</v>
      </c>
      <c r="J37" s="34">
        <v>0</v>
      </c>
      <c r="K37" s="34">
        <v>41</v>
      </c>
      <c r="L37" s="33"/>
      <c r="M37" s="32">
        <f>+L$34*K37*D37</f>
        <v>0</v>
      </c>
      <c r="O37" s="35"/>
      <c r="X37" s="31">
        <f>+[1]A3!BI39</f>
        <v>0</v>
      </c>
      <c r="Z37" s="31">
        <f>+[1]A1!BD39</f>
        <v>0</v>
      </c>
      <c r="AA37" s="31">
        <f>+[1]A2!BD39</f>
        <v>0</v>
      </c>
      <c r="AB37" s="31"/>
      <c r="AC37" s="31">
        <f>+[1]A4!AZ39</f>
        <v>0</v>
      </c>
      <c r="AD37" s="31">
        <f>+[1]A5!BD39</f>
        <v>0</v>
      </c>
    </row>
    <row r="38" spans="1:30" ht="21.75" customHeight="1" thickBot="1" x14ac:dyDescent="0.45">
      <c r="A38" s="70"/>
      <c r="B38" s="59"/>
      <c r="C38" s="71" t="s">
        <v>55</v>
      </c>
      <c r="D38" s="72">
        <v>0.1</v>
      </c>
      <c r="E38" s="34">
        <v>0</v>
      </c>
      <c r="F38" s="34">
        <v>23</v>
      </c>
      <c r="G38" s="42">
        <v>0</v>
      </c>
      <c r="H38" s="34">
        <v>0</v>
      </c>
      <c r="I38" s="34">
        <v>23</v>
      </c>
      <c r="J38" s="34">
        <v>0</v>
      </c>
      <c r="K38" s="44">
        <v>46</v>
      </c>
      <c r="L38" s="75"/>
      <c r="M38" s="76">
        <f>+L$34*K38*D38</f>
        <v>0</v>
      </c>
      <c r="O38" s="45"/>
      <c r="X38" s="42">
        <f>+[1]A3!BI40</f>
        <v>0</v>
      </c>
      <c r="Z38" s="42">
        <f>+[1]A1!BD40</f>
        <v>0</v>
      </c>
      <c r="AA38" s="42">
        <f>+[1]A2!BD40</f>
        <v>0</v>
      </c>
      <c r="AB38" s="42"/>
      <c r="AC38" s="42">
        <f>+[1]A4!AZ40</f>
        <v>0</v>
      </c>
      <c r="AD38" s="42">
        <f>+[1]A5!BD40</f>
        <v>0</v>
      </c>
    </row>
    <row r="39" spans="1:30" ht="21.75" customHeight="1" x14ac:dyDescent="0.4">
      <c r="A39" s="77" t="s">
        <v>56</v>
      </c>
      <c r="B39" s="78" t="s">
        <v>22</v>
      </c>
      <c r="C39" s="22" t="s">
        <v>17</v>
      </c>
      <c r="D39" s="23">
        <v>0.5</v>
      </c>
      <c r="E39" s="24">
        <v>32</v>
      </c>
      <c r="F39" s="24"/>
      <c r="G39" s="24"/>
      <c r="H39" s="24"/>
      <c r="I39" s="24"/>
      <c r="J39" s="24"/>
      <c r="K39" s="25">
        <v>32</v>
      </c>
      <c r="L39" s="26">
        <v>120</v>
      </c>
      <c r="M39" s="24">
        <f>+L$39*K39*D39</f>
        <v>1920</v>
      </c>
      <c r="O39" s="27">
        <v>125</v>
      </c>
      <c r="R39" s="13"/>
      <c r="S39" s="13"/>
      <c r="X39" s="24">
        <f>+[1]A3!BI41</f>
        <v>0</v>
      </c>
      <c r="Z39" s="24">
        <f>+[1]A1!BD53</f>
        <v>0</v>
      </c>
      <c r="AA39" s="24">
        <f>+[1]A2!BD41</f>
        <v>0</v>
      </c>
      <c r="AB39" s="24"/>
      <c r="AC39" s="24">
        <f>+[1]A4!AZ41</f>
        <v>0</v>
      </c>
      <c r="AD39" s="24">
        <f>+[1]A5!BD41</f>
        <v>0</v>
      </c>
    </row>
    <row r="40" spans="1:30" ht="21.75" customHeight="1" x14ac:dyDescent="0.4">
      <c r="A40" s="79"/>
      <c r="B40" s="80"/>
      <c r="C40" s="29" t="s">
        <v>18</v>
      </c>
      <c r="D40" s="30">
        <v>0.2</v>
      </c>
      <c r="E40" s="31">
        <v>17</v>
      </c>
      <c r="F40" s="31"/>
      <c r="G40" s="31"/>
      <c r="H40" s="31"/>
      <c r="I40" s="31"/>
      <c r="J40" s="31"/>
      <c r="K40" s="32">
        <v>17</v>
      </c>
      <c r="L40" s="33"/>
      <c r="M40" s="31">
        <f t="shared" ref="M40:M42" si="1">+L$39*K40*D40</f>
        <v>408</v>
      </c>
      <c r="O40" s="35"/>
      <c r="R40" s="13"/>
      <c r="S40" s="13"/>
      <c r="X40" s="31">
        <f>+[1]A3!BI42</f>
        <v>0</v>
      </c>
      <c r="Z40" s="31">
        <f>+[1]A1!BD54</f>
        <v>0</v>
      </c>
      <c r="AA40" s="31">
        <f>+[1]A2!BD42</f>
        <v>0</v>
      </c>
      <c r="AB40" s="31"/>
      <c r="AC40" s="31">
        <f>+[1]A4!AZ42</f>
        <v>0</v>
      </c>
      <c r="AD40" s="31">
        <f>+[1]A5!BD42</f>
        <v>0</v>
      </c>
    </row>
    <row r="41" spans="1:30" ht="21.75" customHeight="1" x14ac:dyDescent="0.4">
      <c r="A41" s="79"/>
      <c r="B41" s="81"/>
      <c r="C41" s="29" t="s">
        <v>19</v>
      </c>
      <c r="D41" s="30">
        <v>0.15</v>
      </c>
      <c r="E41" s="31">
        <v>17</v>
      </c>
      <c r="F41" s="31"/>
      <c r="G41" s="31"/>
      <c r="H41" s="31"/>
      <c r="I41" s="31"/>
      <c r="J41" s="31"/>
      <c r="K41" s="32">
        <v>17</v>
      </c>
      <c r="L41" s="33"/>
      <c r="M41" s="31">
        <f t="shared" si="1"/>
        <v>306</v>
      </c>
      <c r="O41" s="35"/>
      <c r="R41" s="37" t="str">
        <f>+A39</f>
        <v>MOURAD</v>
      </c>
      <c r="S41" s="38"/>
      <c r="X41" s="31">
        <f>+[1]A3!BI43</f>
        <v>0</v>
      </c>
      <c r="Z41" s="31">
        <f>+[1]A1!BD55</f>
        <v>0</v>
      </c>
      <c r="AA41" s="31">
        <f>+[1]A2!BD43</f>
        <v>0</v>
      </c>
      <c r="AB41" s="31"/>
      <c r="AC41" s="31">
        <f>+[1]A4!AZ43</f>
        <v>0</v>
      </c>
      <c r="AD41" s="31">
        <f>+[1]A5!BD43</f>
        <v>0</v>
      </c>
    </row>
    <row r="42" spans="1:30" ht="30.6" thickBot="1" x14ac:dyDescent="0.45">
      <c r="A42" s="79"/>
      <c r="B42" s="82"/>
      <c r="C42" s="40" t="s">
        <v>20</v>
      </c>
      <c r="D42" s="41">
        <v>0.15</v>
      </c>
      <c r="E42" s="42">
        <v>13</v>
      </c>
      <c r="F42" s="42"/>
      <c r="G42" s="42"/>
      <c r="H42" s="42"/>
      <c r="I42" s="42"/>
      <c r="J42" s="42"/>
      <c r="K42" s="42">
        <v>13</v>
      </c>
      <c r="L42" s="43"/>
      <c r="M42" s="42">
        <f t="shared" si="1"/>
        <v>234</v>
      </c>
      <c r="O42" s="45"/>
      <c r="R42" s="46" t="s">
        <v>21</v>
      </c>
      <c r="S42" s="47">
        <v>0</v>
      </c>
      <c r="X42" s="42">
        <f>+[1]A3!BI44</f>
        <v>0</v>
      </c>
      <c r="Z42" s="42">
        <f>+[1]A1!BD56</f>
        <v>0</v>
      </c>
      <c r="AA42" s="42">
        <f>+[1]A2!BD44</f>
        <v>0</v>
      </c>
      <c r="AB42" s="42"/>
      <c r="AC42" s="42">
        <f>+[1]A4!AZ44</f>
        <v>0</v>
      </c>
      <c r="AD42" s="42">
        <f>+[1]A5!BD44</f>
        <v>0</v>
      </c>
    </row>
    <row r="43" spans="1:30" ht="21.75" customHeight="1" x14ac:dyDescent="0.4">
      <c r="A43" s="79"/>
      <c r="B43" s="21" t="s">
        <v>16</v>
      </c>
      <c r="C43" s="48" t="s">
        <v>17</v>
      </c>
      <c r="D43" s="23">
        <v>0.5</v>
      </c>
      <c r="E43" s="24">
        <v>2</v>
      </c>
      <c r="F43" s="24"/>
      <c r="G43" s="24"/>
      <c r="H43" s="24"/>
      <c r="I43" s="24"/>
      <c r="J43" s="24"/>
      <c r="K43" s="25">
        <v>2</v>
      </c>
      <c r="L43" s="26">
        <v>150</v>
      </c>
      <c r="M43" s="24">
        <f>+L$43*K43*D43</f>
        <v>150</v>
      </c>
      <c r="O43" s="27">
        <v>789</v>
      </c>
      <c r="R43" s="46" t="s">
        <v>23</v>
      </c>
      <c r="S43" s="47">
        <f>SUM(M39:M46)</f>
        <v>3168</v>
      </c>
      <c r="T43" s="49" t="s">
        <v>24</v>
      </c>
      <c r="U43" s="47">
        <f>+S43*10%</f>
        <v>316.8</v>
      </c>
      <c r="X43" s="24">
        <f>+[1]A3!BI45</f>
        <v>0</v>
      </c>
      <c r="Z43" s="24">
        <f>+[1]A1!BD57</f>
        <v>0</v>
      </c>
      <c r="AA43" s="24">
        <f>+[1]A2!BD45</f>
        <v>0</v>
      </c>
      <c r="AB43" s="24"/>
      <c r="AC43" s="24">
        <f>+[1]A4!AZ45</f>
        <v>0</v>
      </c>
      <c r="AD43" s="24">
        <f>+[1]A5!BD45</f>
        <v>0</v>
      </c>
    </row>
    <row r="44" spans="1:30" ht="21.75" customHeight="1" x14ac:dyDescent="0.4">
      <c r="A44" s="79"/>
      <c r="B44" s="21"/>
      <c r="C44" s="29" t="s">
        <v>18</v>
      </c>
      <c r="D44" s="30">
        <v>0.2</v>
      </c>
      <c r="E44" s="31">
        <v>2</v>
      </c>
      <c r="F44" s="31"/>
      <c r="G44" s="31"/>
      <c r="H44" s="31"/>
      <c r="I44" s="31"/>
      <c r="J44" s="31"/>
      <c r="K44" s="32">
        <v>2</v>
      </c>
      <c r="L44" s="33"/>
      <c r="M44" s="31">
        <f t="shared" ref="M44:M46" si="2">+L$43*K44*D44</f>
        <v>60</v>
      </c>
      <c r="O44" s="35"/>
      <c r="T44" s="49" t="s">
        <v>25</v>
      </c>
      <c r="U44" s="50">
        <f>S45-U43</f>
        <v>2851.2</v>
      </c>
      <c r="X44" s="31">
        <f>+[1]A3!BI46</f>
        <v>0</v>
      </c>
      <c r="Z44" s="31">
        <f>+[1]A1!BD58</f>
        <v>0</v>
      </c>
      <c r="AA44" s="31">
        <f>+[1]A2!BD46</f>
        <v>0</v>
      </c>
      <c r="AB44" s="31"/>
      <c r="AC44" s="31">
        <f>+[1]A4!AZ46</f>
        <v>0</v>
      </c>
      <c r="AD44" s="31">
        <f>+[1]A5!BD46</f>
        <v>0</v>
      </c>
    </row>
    <row r="45" spans="1:30" ht="21.75" customHeight="1" x14ac:dyDescent="0.4">
      <c r="A45" s="79"/>
      <c r="B45" s="36"/>
      <c r="C45" s="29" t="s">
        <v>19</v>
      </c>
      <c r="D45" s="30">
        <v>0.15</v>
      </c>
      <c r="E45" s="31">
        <v>2</v>
      </c>
      <c r="F45" s="31"/>
      <c r="G45" s="31"/>
      <c r="H45" s="31"/>
      <c r="I45" s="31"/>
      <c r="J45" s="31"/>
      <c r="K45" s="32">
        <v>2</v>
      </c>
      <c r="L45" s="33"/>
      <c r="M45" s="31">
        <f t="shared" si="2"/>
        <v>45</v>
      </c>
      <c r="O45" s="35"/>
      <c r="R45" s="46" t="s">
        <v>26</v>
      </c>
      <c r="S45" s="47">
        <f>+S43-S42</f>
        <v>3168</v>
      </c>
      <c r="T45" s="51"/>
      <c r="X45" s="31">
        <f>+[1]A3!BI47</f>
        <v>0</v>
      </c>
      <c r="Z45" s="31">
        <f>+[1]A1!BD59</f>
        <v>0</v>
      </c>
      <c r="AA45" s="31">
        <f>+[1]A2!BD47</f>
        <v>0</v>
      </c>
      <c r="AB45" s="31"/>
      <c r="AC45" s="31">
        <f>+[1]A4!AZ47</f>
        <v>0</v>
      </c>
      <c r="AD45" s="31">
        <f>+[1]A5!BD47</f>
        <v>0</v>
      </c>
    </row>
    <row r="46" spans="1:30" ht="30.6" thickBot="1" x14ac:dyDescent="0.45">
      <c r="A46" s="83"/>
      <c r="B46" s="39"/>
      <c r="C46" s="40" t="s">
        <v>27</v>
      </c>
      <c r="D46" s="41">
        <v>0.15</v>
      </c>
      <c r="E46" s="42">
        <v>2</v>
      </c>
      <c r="F46" s="42"/>
      <c r="G46" s="42"/>
      <c r="H46" s="42"/>
      <c r="I46" s="42"/>
      <c r="J46" s="42"/>
      <c r="K46" s="42">
        <v>2</v>
      </c>
      <c r="L46" s="43"/>
      <c r="M46" s="42">
        <f t="shared" si="2"/>
        <v>45</v>
      </c>
      <c r="O46" s="35"/>
      <c r="T46" s="51"/>
      <c r="X46" s="42">
        <f>+[1]A3!BI48</f>
        <v>0</v>
      </c>
      <c r="Z46" s="42">
        <f>+[1]A1!BD60</f>
        <v>0</v>
      </c>
      <c r="AA46" s="42">
        <f>+[1]A2!BD48</f>
        <v>0</v>
      </c>
      <c r="AB46" s="42"/>
      <c r="AC46" s="42">
        <f>+[1]A4!AZ48</f>
        <v>0</v>
      </c>
      <c r="AD46" s="42">
        <f>+[1]A5!BD48</f>
        <v>0</v>
      </c>
    </row>
    <row r="48" spans="1:30" x14ac:dyDescent="0.4">
      <c r="E48" s="12">
        <f>SUM(E6:E47)</f>
        <v>14826</v>
      </c>
      <c r="F48" s="12">
        <f t="shared" ref="F48:K48" si="3">SUM(F6:F47)</f>
        <v>42925</v>
      </c>
      <c r="G48" s="12">
        <f t="shared" si="3"/>
        <v>36</v>
      </c>
      <c r="H48" s="12">
        <f t="shared" si="3"/>
        <v>20507</v>
      </c>
      <c r="I48" s="12">
        <f t="shared" si="3"/>
        <v>24119</v>
      </c>
      <c r="J48" s="12">
        <f t="shared" si="3"/>
        <v>36</v>
      </c>
      <c r="K48" s="12">
        <f t="shared" si="3"/>
        <v>102449</v>
      </c>
    </row>
    <row r="50" spans="1:30" x14ac:dyDescent="0.4">
      <c r="E50" s="12">
        <v>14484</v>
      </c>
      <c r="F50" s="12">
        <v>42104</v>
      </c>
      <c r="G50" s="12">
        <v>0</v>
      </c>
      <c r="H50" s="12">
        <v>20471</v>
      </c>
      <c r="I50" s="12">
        <v>24098</v>
      </c>
      <c r="J50" s="12">
        <v>24098</v>
      </c>
      <c r="K50" s="12">
        <v>101157</v>
      </c>
      <c r="R50" s="37" t="s">
        <v>57</v>
      </c>
      <c r="S50" s="38"/>
    </row>
    <row r="51" spans="1:30" x14ac:dyDescent="0.4">
      <c r="R51" s="46" t="s">
        <v>21</v>
      </c>
      <c r="S51" s="47">
        <v>0</v>
      </c>
    </row>
    <row r="52" spans="1:30" x14ac:dyDescent="0.4">
      <c r="R52" s="46" t="s">
        <v>23</v>
      </c>
      <c r="S52" s="47">
        <v>0</v>
      </c>
    </row>
    <row r="53" spans="1:30" x14ac:dyDescent="0.4">
      <c r="R53" s="46"/>
      <c r="S53" s="47"/>
    </row>
    <row r="54" spans="1:30" x14ac:dyDescent="0.4">
      <c r="R54" s="46" t="s">
        <v>26</v>
      </c>
      <c r="S54" s="47">
        <f>+S52-S51</f>
        <v>0</v>
      </c>
    </row>
    <row r="55" spans="1:30" ht="21.6" thickBot="1" x14ac:dyDescent="0.45"/>
    <row r="56" spans="1:30" ht="84.6" customHeight="1" thickBot="1" x14ac:dyDescent="0.45">
      <c r="B56" s="14" t="s">
        <v>2</v>
      </c>
      <c r="C56" s="14" t="s">
        <v>3</v>
      </c>
      <c r="D56" s="17" t="s">
        <v>11</v>
      </c>
      <c r="K56" s="84"/>
      <c r="L56" s="84"/>
      <c r="M56" s="84"/>
    </row>
    <row r="57" spans="1:30" ht="41.4" customHeight="1" x14ac:dyDescent="0.4">
      <c r="A57" s="66" t="s">
        <v>58</v>
      </c>
      <c r="B57" s="85" t="s">
        <v>45</v>
      </c>
      <c r="C57" s="22" t="s">
        <v>51</v>
      </c>
      <c r="D57" s="24">
        <v>10146</v>
      </c>
      <c r="K57" s="84"/>
      <c r="L57" s="84"/>
      <c r="M57" s="84"/>
      <c r="O57" s="27">
        <v>124</v>
      </c>
      <c r="X57" s="34">
        <f>+[1]A3!BI59</f>
        <v>0</v>
      </c>
      <c r="Z57" s="34">
        <f>+[1]A1!BD59</f>
        <v>0</v>
      </c>
      <c r="AA57" s="34">
        <f>+[1]A2!BD59</f>
        <v>0</v>
      </c>
      <c r="AB57" s="34"/>
      <c r="AC57" s="34">
        <f>+[1]A4!AZ59</f>
        <v>0</v>
      </c>
      <c r="AD57" s="34">
        <f>+[1]A5!BD59</f>
        <v>0</v>
      </c>
    </row>
    <row r="58" spans="1:30" ht="41.4" customHeight="1" x14ac:dyDescent="0.4">
      <c r="A58" s="68"/>
      <c r="B58" s="86"/>
      <c r="C58" s="48" t="s">
        <v>53</v>
      </c>
      <c r="D58" s="34">
        <v>30</v>
      </c>
      <c r="K58" s="84"/>
      <c r="L58" s="84"/>
      <c r="M58" s="84"/>
      <c r="O58" s="35"/>
      <c r="X58" s="31">
        <f>+[1]A3!BI61</f>
        <v>0</v>
      </c>
      <c r="Z58" s="31">
        <f>+[1]A1!BD61</f>
        <v>0</v>
      </c>
      <c r="AA58" s="31">
        <f>+[1]A2!BD61</f>
        <v>0</v>
      </c>
      <c r="AB58" s="31"/>
      <c r="AC58" s="31">
        <f>+[1]A4!AZ61</f>
        <v>0</v>
      </c>
      <c r="AD58" s="31">
        <f>+[1]A5!BD61</f>
        <v>0</v>
      </c>
    </row>
    <row r="59" spans="1:30" ht="41.4" customHeight="1" x14ac:dyDescent="0.4">
      <c r="A59" s="68"/>
      <c r="B59" s="86"/>
      <c r="C59" s="48" t="s">
        <v>54</v>
      </c>
      <c r="D59" s="34">
        <v>30</v>
      </c>
      <c r="K59" s="84"/>
      <c r="L59" s="84"/>
      <c r="M59" s="84"/>
      <c r="O59" s="35"/>
      <c r="X59" s="31">
        <f>+[1]A3!BI62</f>
        <v>0</v>
      </c>
      <c r="Z59" s="31">
        <f>+[1]A1!BD62</f>
        <v>0</v>
      </c>
      <c r="AA59" s="31">
        <f>+[1]A2!BD62</f>
        <v>0</v>
      </c>
      <c r="AB59" s="31"/>
      <c r="AC59" s="31">
        <f>+[1]A4!AZ62</f>
        <v>0</v>
      </c>
      <c r="AD59" s="31">
        <f>+[1]A5!BD62</f>
        <v>0</v>
      </c>
    </row>
    <row r="60" spans="1:30" ht="41.4" customHeight="1" thickBot="1" x14ac:dyDescent="0.45">
      <c r="A60" s="68"/>
      <c r="B60" s="86"/>
      <c r="C60" s="48" t="s">
        <v>55</v>
      </c>
      <c r="D60" s="34">
        <v>30</v>
      </c>
      <c r="K60" s="84"/>
      <c r="L60" s="84"/>
      <c r="M60" s="84"/>
      <c r="O60" s="35"/>
      <c r="X60" s="42">
        <f>+[1]A3!BI61</f>
        <v>0</v>
      </c>
      <c r="Z60" s="42">
        <f>+[1]A1!BD61</f>
        <v>0</v>
      </c>
      <c r="AA60" s="42">
        <f>+[1]A2!BD61</f>
        <v>0</v>
      </c>
      <c r="AB60" s="42"/>
      <c r="AC60" s="42">
        <f>+[1]A4!AZ61</f>
        <v>0</v>
      </c>
      <c r="AD60" s="42">
        <f>+[1]A5!BD61</f>
        <v>0</v>
      </c>
    </row>
    <row r="61" spans="1:30" ht="41.4" customHeight="1" thickBot="1" x14ac:dyDescent="0.45">
      <c r="A61" s="68"/>
      <c r="B61" s="86"/>
      <c r="C61" s="48" t="s">
        <v>59</v>
      </c>
      <c r="D61" s="34">
        <v>77</v>
      </c>
      <c r="K61" s="84"/>
      <c r="L61" s="84"/>
      <c r="M61" s="84"/>
      <c r="O61" s="35"/>
      <c r="X61" s="42">
        <f>+[1]A3!BI62</f>
        <v>0</v>
      </c>
      <c r="Z61" s="42">
        <f>+[1]A1!BD62</f>
        <v>0</v>
      </c>
      <c r="AA61" s="42">
        <f>+[1]A2!BD62</f>
        <v>0</v>
      </c>
      <c r="AB61" s="42"/>
      <c r="AC61" s="42">
        <f>+[1]A4!AZ62</f>
        <v>0</v>
      </c>
      <c r="AD61" s="42">
        <f>+[1]A5!BD62</f>
        <v>0</v>
      </c>
    </row>
    <row r="62" spans="1:30" ht="41.4" customHeight="1" thickBot="1" x14ac:dyDescent="0.45">
      <c r="A62" s="68"/>
      <c r="B62" s="86"/>
      <c r="C62" s="48" t="s">
        <v>60</v>
      </c>
      <c r="D62" s="34">
        <v>117</v>
      </c>
      <c r="K62" s="84"/>
      <c r="L62" s="84"/>
      <c r="M62" s="84"/>
      <c r="O62" s="35"/>
      <c r="X62" s="42">
        <f>+[1]A3!BI63</f>
        <v>0</v>
      </c>
      <c r="Z62" s="42">
        <f>+[1]A1!BD63</f>
        <v>0</v>
      </c>
      <c r="AA62" s="42">
        <f>+[1]A2!BD63</f>
        <v>0</v>
      </c>
      <c r="AB62" s="42"/>
      <c r="AC62" s="42">
        <f>+[1]A4!AZ63</f>
        <v>0</v>
      </c>
      <c r="AD62" s="42">
        <f>+[1]A5!BD63</f>
        <v>0</v>
      </c>
    </row>
    <row r="63" spans="1:30" ht="41.4" customHeight="1" thickBot="1" x14ac:dyDescent="0.45">
      <c r="A63" s="70"/>
      <c r="B63" s="87"/>
      <c r="C63" s="71" t="s">
        <v>61</v>
      </c>
      <c r="D63" s="44">
        <f>125-30</f>
        <v>95</v>
      </c>
      <c r="K63" s="88"/>
      <c r="L63" s="88"/>
      <c r="M63" s="88"/>
      <c r="O63" s="45"/>
      <c r="X63" s="42">
        <f>+[1]A3!BI63</f>
        <v>0</v>
      </c>
      <c r="Z63" s="42">
        <f>+[1]A1!BD63</f>
        <v>0</v>
      </c>
      <c r="AA63" s="42">
        <f>+[1]A2!BD63</f>
        <v>0</v>
      </c>
      <c r="AB63" s="42"/>
      <c r="AC63" s="42">
        <f>+[1]A4!AZ63</f>
        <v>0</v>
      </c>
      <c r="AD63" s="42">
        <f>+[1]A5!BD63</f>
        <v>0</v>
      </c>
    </row>
  </sheetData>
  <mergeCells count="43">
    <mergeCell ref="R50:S50"/>
    <mergeCell ref="A57:A63"/>
    <mergeCell ref="B57:B63"/>
    <mergeCell ref="O57:O63"/>
    <mergeCell ref="A39:A46"/>
    <mergeCell ref="B39:B42"/>
    <mergeCell ref="L39:L42"/>
    <mergeCell ref="O39:O42"/>
    <mergeCell ref="R41:S41"/>
    <mergeCell ref="B43:B46"/>
    <mergeCell ref="L43:L46"/>
    <mergeCell ref="O43:O46"/>
    <mergeCell ref="O28:O29"/>
    <mergeCell ref="A30:A33"/>
    <mergeCell ref="B30:B38"/>
    <mergeCell ref="L30:L33"/>
    <mergeCell ref="O30:O33"/>
    <mergeCell ref="A34:A38"/>
    <mergeCell ref="L34:L38"/>
    <mergeCell ref="O34:O38"/>
    <mergeCell ref="A18:A29"/>
    <mergeCell ref="B18:B23"/>
    <mergeCell ref="L18:L23"/>
    <mergeCell ref="O18:O23"/>
    <mergeCell ref="R19:S19"/>
    <mergeCell ref="B24:B27"/>
    <mergeCell ref="L24:L27"/>
    <mergeCell ref="O24:O27"/>
    <mergeCell ref="B28:B29"/>
    <mergeCell ref="L28:L29"/>
    <mergeCell ref="R8:S8"/>
    <mergeCell ref="B10:B13"/>
    <mergeCell ref="L10:L13"/>
    <mergeCell ref="O10:O13"/>
    <mergeCell ref="B14:B17"/>
    <mergeCell ref="L14:L17"/>
    <mergeCell ref="O14:O17"/>
    <mergeCell ref="A1:M1"/>
    <mergeCell ref="B3:C3"/>
    <mergeCell ref="A6:A17"/>
    <mergeCell ref="B6:B9"/>
    <mergeCell ref="L6:L9"/>
    <mergeCell ref="O6:O9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3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RECAP</vt:lpstr>
      <vt:lpstr>RECAP!Zone_d_impression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MELILI</dc:creator>
  <cp:lastModifiedBy>Youssef MELILI</cp:lastModifiedBy>
  <dcterms:created xsi:type="dcterms:W3CDTF">2026-09-12T14:08:28Z</dcterms:created>
  <dcterms:modified xsi:type="dcterms:W3CDTF">2026-09-12T14:09:15Z</dcterms:modified>
</cp:coreProperties>
</file>