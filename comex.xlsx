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eur\boisandco\"/>
    </mc:Choice>
  </mc:AlternateContent>
  <xr:revisionPtr revIDLastSave="0" documentId="8_{3A7B0602-11E8-4512-9748-5A6FD6E0A2D1}" xr6:coauthVersionLast="47" xr6:coauthVersionMax="47" xr10:uidLastSave="{00000000-0000-0000-0000-000000000000}"/>
  <bookViews>
    <workbookView xWindow="-108" yWindow="-108" windowWidth="23256" windowHeight="12456" xr2:uid="{33E8D184-F84E-4005-85EF-8D718CB81101}"/>
  </bookViews>
  <sheets>
    <sheet name="📊 SYNTHÈSE COMEX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93" i="1" l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B85" i="1"/>
  <c r="B84" i="1"/>
  <c r="B83" i="1"/>
  <c r="B82" i="1"/>
  <c r="B81" i="1"/>
  <c r="B80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7" i="1"/>
  <c r="E17" i="1"/>
  <c r="D17" i="1"/>
  <c r="C17" i="1"/>
  <c r="B17" i="1"/>
  <c r="M16" i="1"/>
  <c r="L16" i="1"/>
  <c r="K16" i="1"/>
  <c r="J16" i="1"/>
  <c r="I16" i="1"/>
  <c r="F16" i="1"/>
  <c r="E16" i="1"/>
  <c r="D16" i="1"/>
  <c r="C16" i="1"/>
  <c r="B16" i="1"/>
  <c r="M15" i="1"/>
  <c r="L15" i="1"/>
  <c r="K15" i="1"/>
  <c r="J15" i="1"/>
  <c r="I15" i="1"/>
  <c r="F15" i="1"/>
  <c r="E15" i="1"/>
  <c r="D15" i="1"/>
  <c r="C15" i="1"/>
  <c r="B15" i="1"/>
  <c r="M14" i="1"/>
  <c r="L14" i="1"/>
  <c r="K14" i="1"/>
  <c r="J14" i="1"/>
  <c r="I14" i="1"/>
  <c r="F14" i="1"/>
  <c r="E14" i="1"/>
  <c r="D14" i="1"/>
  <c r="C14" i="1"/>
  <c r="B14" i="1"/>
  <c r="M13" i="1"/>
  <c r="L13" i="1"/>
  <c r="K13" i="1"/>
  <c r="J13" i="1"/>
  <c r="I13" i="1"/>
  <c r="F13" i="1"/>
  <c r="E13" i="1"/>
  <c r="D13" i="1"/>
  <c r="C13" i="1"/>
  <c r="B13" i="1"/>
  <c r="M12" i="1"/>
  <c r="L12" i="1"/>
  <c r="K12" i="1"/>
  <c r="J12" i="1"/>
  <c r="I12" i="1"/>
  <c r="F12" i="1"/>
  <c r="F18" i="1" s="1"/>
  <c r="E12" i="1"/>
  <c r="E18" i="1" s="1"/>
  <c r="D12" i="1"/>
  <c r="C12" i="1"/>
  <c r="B12" i="1"/>
  <c r="B18" i="1" s="1"/>
  <c r="M7" i="1"/>
  <c r="J7" i="1"/>
  <c r="G7" i="1"/>
  <c r="D7" i="1"/>
  <c r="A7" i="1"/>
  <c r="B105" i="1" l="1"/>
  <c r="B104" i="1"/>
  <c r="B103" i="1"/>
  <c r="B102" i="1"/>
  <c r="B101" i="1"/>
  <c r="B100" i="1"/>
  <c r="B99" i="1"/>
  <c r="B98" i="1"/>
</calcChain>
</file>

<file path=xl/sharedStrings.xml><?xml version="1.0" encoding="utf-8"?>
<sst xmlns="http://schemas.openxmlformats.org/spreadsheetml/2006/main" count="342" uniqueCount="170">
  <si>
    <t>PIPELINE COMMERCIAL — SYNTHÈSE COMEX   ▏   BOIS &amp; CO</t>
  </si>
  <si>
    <t>Données au 19/04/2026  •  Mise à jour hebdomadaire  •  Source: onglet BASE DONNÉES — Ne pas modifier manuellement</t>
  </si>
  <si>
    <t>PIPELINE
TOTAL (MAD)</t>
  </si>
  <si>
    <t>PIPELINE
PONDÉRÉ (MAD)</t>
  </si>
  <si>
    <t>PROJETS
ACTIFS</t>
  </si>
  <si>
    <t>ALERTES
À CORRIGER</t>
  </si>
  <si>
    <t>HIGH
PRIORITY</t>
  </si>
  <si>
    <t xml:space="preserve">  ▸  RÉPARTITION PAR COMMERCIAL</t>
  </si>
  <si>
    <t xml:space="preserve">  ▸  RÉPARTITION PAR STATUT</t>
  </si>
  <si>
    <t>Commercial</t>
  </si>
  <si>
    <t>Projets actifs</t>
  </si>
  <si>
    <t>Potentiel (MAD)</t>
  </si>
  <si>
    <t>% Pipeline</t>
  </si>
  <si>
    <t>Pondéré (MAD)</t>
  </si>
  <si>
    <t>H.Priority</t>
  </si>
  <si>
    <t>Statut</t>
  </si>
  <si>
    <t>Projets</t>
  </si>
  <si>
    <t>% Total</t>
  </si>
  <si>
    <t>Lecture</t>
  </si>
  <si>
    <t>Amine</t>
  </si>
  <si>
    <t>Prospection</t>
  </si>
  <si>
    <t>Bruno</t>
  </si>
  <si>
    <t>En cours</t>
  </si>
  <si>
    <t>Taoufik</t>
  </si>
  <si>
    <t>Négociation</t>
  </si>
  <si>
    <t>Ibtissam</t>
  </si>
  <si>
    <t>Gagné</t>
  </si>
  <si>
    <t>Oussama</t>
  </si>
  <si>
    <t>Perdu</t>
  </si>
  <si>
    <t>Hassan</t>
  </si>
  <si>
    <t>TOTAL</t>
  </si>
  <si>
    <t>100%</t>
  </si>
  <si>
    <t xml:space="preserve">  ▸  RÉPARTITION PAR SEGMENT (pipeline actif)</t>
  </si>
  <si>
    <t xml:space="preserve">  ▸  ANALYSE GÉOGRAPHIQUE — TOP VILLES</t>
  </si>
  <si>
    <t>Segment</t>
  </si>
  <si>
    <t>Ville</t>
  </si>
  <si>
    <t>Pays</t>
  </si>
  <si>
    <t>🏠 Residential</t>
  </si>
  <si>
    <t>Casablanca</t>
  </si>
  <si>
    <t>Maroc</t>
  </si>
  <si>
    <t>🏢 Commercial</t>
  </si>
  <si>
    <t>Marrakech</t>
  </si>
  <si>
    <t>🏨 Hospitality</t>
  </si>
  <si>
    <t>Fès</t>
  </si>
  <si>
    <t>🏥 Institutional</t>
  </si>
  <si>
    <t>Agadir</t>
  </si>
  <si>
    <t>🏭 Industrial &amp; Logistics</t>
  </si>
  <si>
    <t>Rabat</t>
  </si>
  <si>
    <t>Taourirt</t>
  </si>
  <si>
    <t>Benslimane</t>
  </si>
  <si>
    <t>Tanger</t>
  </si>
  <si>
    <t>Bouznika</t>
  </si>
  <si>
    <t>Zenata</t>
  </si>
  <si>
    <t xml:space="preserve">  ▸  TOP 10 PROJETS PRIORITAIRES  —  classés par montant pondéré (actifs, hors Perdu)</t>
  </si>
  <si>
    <t>Client</t>
  </si>
  <si>
    <t>Projet</t>
  </si>
  <si>
    <t>Probabilité</t>
  </si>
  <si>
    <t>Priorité</t>
  </si>
  <si>
    <t>Alerte</t>
  </si>
  <si>
    <t>DINO</t>
  </si>
  <si>
    <t>CHP TAOURIRT</t>
  </si>
  <si>
    <t>Institutional</t>
  </si>
  <si>
    <t>MEDIUM</t>
  </si>
  <si>
    <t>✓ OK</t>
  </si>
  <si>
    <t>DOLIDOL</t>
  </si>
  <si>
    <t>SOMMIER DOLIDOL</t>
  </si>
  <si>
    <t>Hospitality</t>
  </si>
  <si>
    <t>HIGH</t>
  </si>
  <si>
    <t>MFADEL</t>
  </si>
  <si>
    <t>RADISON</t>
  </si>
  <si>
    <t>FERMAPREFA</t>
  </si>
  <si>
    <t>AMV 300 VILLAS R2 R3</t>
  </si>
  <si>
    <t>Residential</t>
  </si>
  <si>
    <t>STATUT/PROB INCOHÉRENT</t>
  </si>
  <si>
    <t>BANKAI</t>
  </si>
  <si>
    <t>NOOR PRESTIGE  400 APPT</t>
  </si>
  <si>
    <t>TGCC</t>
  </si>
  <si>
    <t>ANP</t>
  </si>
  <si>
    <t>TARGA PRESTIGE 300 APPT</t>
  </si>
  <si>
    <t>AEM</t>
  </si>
  <si>
    <t>190 APPRTEMENT</t>
  </si>
  <si>
    <t>GROUPE AHOCIENIA</t>
  </si>
  <si>
    <t>VILLA CYPRES GROUPE AH</t>
  </si>
  <si>
    <t>ALLALI/PROBATIM</t>
  </si>
  <si>
    <t>EVERGREEN</t>
  </si>
  <si>
    <t xml:space="preserve">  ▸  DÉPENDANCE COMMERCIALE  ⚠</t>
  </si>
  <si>
    <t xml:space="preserve">  ▸  LISTE DES ALERTES À CORRIGER</t>
  </si>
  <si>
    <t>Signal</t>
  </si>
  <si>
    <t>Barre visuelle</t>
  </si>
  <si>
    <t>Type d'alerte</t>
  </si>
  <si>
    <t>✓ Normal</t>
  </si>
  <si>
    <t>█████░░░░░░░░░░░░░░░</t>
  </si>
  <si>
    <t>RESIDENCE FERMEE EN VILLAS BENGUERIR LOT BOIS</t>
  </si>
  <si>
    <t>████████████░░░░░░░░</t>
  </si>
  <si>
    <t>░░░░░░░░░░░░░░░░░░░░</t>
  </si>
  <si>
    <t>TGCC /GIDNA</t>
  </si>
  <si>
    <t>CHU FES</t>
  </si>
  <si>
    <t>PROB MANQUANTE</t>
  </si>
  <si>
    <t>MALL TWF</t>
  </si>
  <si>
    <t>PROB MANQUANTE | MONTANT VIDE</t>
  </si>
  <si>
    <t>FERMABAT</t>
  </si>
  <si>
    <t>DIVERS IMB</t>
  </si>
  <si>
    <t>CGI</t>
  </si>
  <si>
    <t>VILLAS TAGHAZOUT BAY  P25.2</t>
  </si>
  <si>
    <t>PROB 0% SUR ACTIF</t>
  </si>
  <si>
    <t>VILLAS TAGHAZOUT BAY P25.1</t>
  </si>
  <si>
    <t>R5 BOIS</t>
  </si>
  <si>
    <t>BLOC 5 EXPORT</t>
  </si>
  <si>
    <t>VILLA BIANCA CUISINE</t>
  </si>
  <si>
    <t>AGADIR BAY</t>
  </si>
  <si>
    <t>RESIDENTIEL Q 63</t>
  </si>
  <si>
    <t>SIREGEC</t>
  </si>
  <si>
    <t>COMPLEXE UNIVERSITAIRE SUPTECH</t>
  </si>
  <si>
    <t>MONTANT VIDE</t>
  </si>
  <si>
    <t>ADDOHA ABIDJA</t>
  </si>
  <si>
    <t>LAGOONA GH 05</t>
  </si>
  <si>
    <t>STATUT/PROB INCOHÉRENT | 100% EN PROSPECTION - CRITIQUE</t>
  </si>
  <si>
    <t>ANGRE SQUARE</t>
  </si>
  <si>
    <t>RAFINITI</t>
  </si>
  <si>
    <t>TEMARA</t>
  </si>
  <si>
    <t xml:space="preserve">  ▸  PILOTAGE TEMPOREL — Pipeline par date de closing estimée (col. Q)</t>
  </si>
  <si>
    <t>Bucket</t>
  </si>
  <si>
    <t>Nb projets</t>
  </si>
  <si>
    <t>Pondéré %</t>
  </si>
  <si>
    <t>⏱ 0-30 jours</t>
  </si>
  <si>
    <t>📅 30-90 jours</t>
  </si>
  <si>
    <t>📆 +90 jours</t>
  </si>
  <si>
    <t>🔴 Dépassé</t>
  </si>
  <si>
    <t>— Non renseigné</t>
  </si>
  <si>
    <t xml:space="preserve">  ▸  COUVERTURE PIPELINE — vs objectif mensuel (_CONFIG!B2)</t>
  </si>
  <si>
    <t>Indicateur</t>
  </si>
  <si>
    <t>Valeur</t>
  </si>
  <si>
    <t>Unité</t>
  </si>
  <si>
    <t>Pipeline total actif (MAD)</t>
  </si>
  <si>
    <t>MAD</t>
  </si>
  <si>
    <t>Exposition brute totale</t>
  </si>
  <si>
    <t>Pipeline pondéré actif (MAD)</t>
  </si>
  <si>
    <t>CA probable ajusté au risque</t>
  </si>
  <si>
    <t>Objectif mensuel CA</t>
  </si>
  <si>
    <t>MAD/mois</t>
  </si>
  <si>
    <t>Paramètre modifiable dans _CONFIG</t>
  </si>
  <si>
    <t>Couverture pipeline pondéré</t>
  </si>
  <si>
    <t>mois</t>
  </si>
  <si>
    <t>Nb mois couverts par le pipeline pondéré</t>
  </si>
  <si>
    <t>Pipeline &lt;30j (MAD)</t>
  </si>
  <si>
    <t>Pondéré sur deals avec closing &lt;30j</t>
  </si>
  <si>
    <t>Projets HIGH Priority</t>
  </si>
  <si>
    <t>projets</t>
  </si>
  <si>
    <t>Actifs priorité HIGH toutes dates</t>
  </si>
  <si>
    <t xml:space="preserve">  ▸  RÉPARTITION PAR RISQUE (col. S — saisie commerciale)</t>
  </si>
  <si>
    <t>Risque</t>
  </si>
  <si>
    <t>● High</t>
  </si>
  <si>
    <t>🔴 Risque élevé</t>
  </si>
  <si>
    <t>● Medium</t>
  </si>
  <si>
    <t>🟡 Surveiller</t>
  </si>
  <si>
    <t>● Low</t>
  </si>
  <si>
    <t>🟢 Maîtrisé</t>
  </si>
  <si>
    <t xml:space="preserve">  ▸  SYNTHÈSE ALERTES V2 (renforcées)</t>
  </si>
  <si>
    <t>Nb projets concernés</t>
  </si>
  <si>
    <t>Priorité correction</t>
  </si>
  <si>
    <t>⚠ PROB MANQUANTE</t>
  </si>
  <si>
    <t>Haute</t>
  </si>
  <si>
    <t>⚠ SANS ACTION PLANIFIÉE</t>
  </si>
  <si>
    <t>Immédiat</t>
  </si>
  <si>
    <t>⚠ DATE ACTION MANQUANTE</t>
  </si>
  <si>
    <t>⚠ DATE ACTION DÉPASSÉE</t>
  </si>
  <si>
    <t>⚠ 80%+ SANS ACTION</t>
  </si>
  <si>
    <t>⚠ STATUT/PROB INCOHÉRENT</t>
  </si>
  <si>
    <t>⚠ MONTANT VIDE</t>
  </si>
  <si>
    <t>TOTAL alertes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</si>
</sst>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MAD&quot;"/>
    <numFmt numFmtId="165" formatCode="0&quot; projets&quot;"/>
    <numFmt numFmtId="166" formatCode="0&quot; alertes&quot;"/>
    <numFmt numFmtId="167" formatCode="0.0%"/>
    <numFmt numFmtId="168" formatCode="0.0&quot; mois&quot;"/>
  </numFmts>
  <fonts count="3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C9A84C"/>
      <name val="Arial"/>
      <charset val="1"/>
    </font>
    <font>
      <b/>
      <sz val="8"/>
      <color rgb="FFC9A84C"/>
      <name val="Arial"/>
      <charset val="1"/>
    </font>
    <font>
      <b/>
      <sz val="8"/>
      <color rgb="FFFFFFFF"/>
      <name val="Arial"/>
      <charset val="1"/>
    </font>
    <font>
      <b/>
      <sz val="8"/>
      <color rgb="FF1A3428"/>
      <name val="Arial"/>
      <charset val="1"/>
    </font>
    <font>
      <b/>
      <sz val="20"/>
      <color rgb="FFC9A84C"/>
      <name val="Arial"/>
      <charset val="1"/>
    </font>
    <font>
      <b/>
      <sz val="20"/>
      <color rgb="FFFFFFFF"/>
      <name val="Arial"/>
      <charset val="1"/>
    </font>
    <font>
      <b/>
      <sz val="20"/>
      <color rgb="FF1A3428"/>
      <name val="Arial"/>
      <charset val="1"/>
    </font>
    <font>
      <b/>
      <sz val="10"/>
      <color rgb="FFFFFFFF"/>
      <name val="Arial"/>
      <charset val="1"/>
    </font>
    <font>
      <b/>
      <sz val="9"/>
      <color rgb="FF1A3428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2D6A4F"/>
      <name val="Arial"/>
      <charset val="1"/>
    </font>
    <font>
      <b/>
      <sz val="8"/>
      <color rgb="FFB83232"/>
      <name val="Arial"/>
      <charset val="1"/>
    </font>
    <font>
      <sz val="9"/>
      <color rgb="FF2D6A4F"/>
      <name val="Arial"/>
      <charset val="1"/>
    </font>
    <font>
      <sz val="8"/>
      <color rgb="FF1A3428"/>
      <name val="Courier New"/>
      <charset val="1"/>
    </font>
    <font>
      <b/>
      <sz val="9"/>
      <color rgb="FFB83232"/>
      <name val="Arial"/>
      <charset val="1"/>
    </font>
    <font>
      <sz val="8"/>
      <color rgb="FFB83232"/>
      <name val="Courier New"/>
      <charset val="1"/>
    </font>
    <font>
      <b/>
      <sz val="9"/>
      <color rgb="FF1A5C2A"/>
      <name val="Arial"/>
      <charset val="1"/>
    </font>
    <font>
      <b/>
      <sz val="9"/>
      <color rgb="FF5C3A00"/>
      <name val="Arial"/>
      <charset val="1"/>
    </font>
    <font>
      <b/>
      <sz val="9"/>
      <color rgb="FF595959"/>
      <name val="Arial"/>
      <charset val="1"/>
    </font>
    <font>
      <sz val="8"/>
      <color rgb="FF595959"/>
      <name val="Arial"/>
      <charset val="1"/>
    </font>
    <font>
      <b/>
      <sz val="9"/>
      <color rgb="FFC05C1E"/>
      <name val="Arial"/>
      <charset val="1"/>
    </font>
    <font>
      <b/>
      <sz val="8"/>
      <color rgb="FFC05C1E"/>
      <name val="Arial"/>
      <charset val="1"/>
    </font>
    <font>
      <b/>
      <sz val="9"/>
      <color rgb="FF2D6A4F"/>
      <name val="Arial"/>
      <charset val="1"/>
    </font>
    <font>
      <sz val="8"/>
      <color rgb="FFB83232"/>
      <name val="Arial"/>
      <charset val="1"/>
    </font>
    <font>
      <b/>
      <sz val="8"/>
      <color rgb="FF59595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428"/>
        <bgColor rgb="FF003300"/>
      </patternFill>
    </fill>
    <fill>
      <patternFill patternType="solid">
        <fgColor rgb="FF2D6A4F"/>
        <bgColor rgb="FF1A5C2A"/>
      </patternFill>
    </fill>
    <fill>
      <patternFill patternType="solid">
        <fgColor rgb="FFC9A84C"/>
        <bgColor rgb="FFFF9900"/>
      </patternFill>
    </fill>
    <fill>
      <patternFill patternType="solid">
        <fgColor rgb="FFB83232"/>
        <bgColor rgb="FF993366"/>
      </patternFill>
    </fill>
    <fill>
      <patternFill patternType="solid">
        <fgColor rgb="FFF7F4F0"/>
        <bgColor rgb="FFF2F2F2"/>
      </patternFill>
    </fill>
    <fill>
      <patternFill patternType="solid">
        <fgColor rgb="FFFAF0DC"/>
        <bgColor rgb="FFFDEBD0"/>
      </patternFill>
    </fill>
    <fill>
      <patternFill patternType="solid">
        <fgColor rgb="FFFFFFFF"/>
        <bgColor rgb="FFF7F4F0"/>
      </patternFill>
    </fill>
    <fill>
      <patternFill patternType="solid">
        <fgColor rgb="FFEFF5EE"/>
        <bgColor rgb="FFF2F2F2"/>
      </patternFill>
    </fill>
    <fill>
      <patternFill patternType="solid">
        <fgColor rgb="FFD6E8D4"/>
        <bgColor rgb="FFC8E6C9"/>
      </patternFill>
    </fill>
    <fill>
      <patternFill patternType="solid">
        <fgColor rgb="FFC8E6C9"/>
        <bgColor rgb="FFC8F0D0"/>
      </patternFill>
    </fill>
    <fill>
      <patternFill patternType="solid">
        <fgColor rgb="FFFAE5E5"/>
        <bgColor rgb="FFF5E8E8"/>
      </patternFill>
    </fill>
    <fill>
      <patternFill patternType="solid">
        <fgColor rgb="FFFDEBD0"/>
        <bgColor rgb="FFFAF0DC"/>
      </patternFill>
    </fill>
    <fill>
      <patternFill patternType="solid">
        <fgColor rgb="FFF2F2F2"/>
        <bgColor rgb="FFEFF5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9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1" fontId="11" fillId="6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7" fontId="11" fillId="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1" fontId="11" fillId="7" borderId="1" xfId="0" applyNumberFormat="1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167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0" fillId="0" borderId="1" xfId="0" applyBorder="1"/>
    <xf numFmtId="0" fontId="10" fillId="8" borderId="1" xfId="0" applyFont="1" applyFill="1" applyBorder="1" applyAlignment="1">
      <alignment horizontal="left" vertical="center"/>
    </xf>
    <xf numFmtId="1" fontId="11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167" fontId="11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1" fontId="11" fillId="9" borderId="1" xfId="0" applyNumberFormat="1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167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1" fontId="11" fillId="10" borderId="1" xfId="0" applyNumberFormat="1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167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" fontId="11" fillId="11" borderId="1" xfId="0" applyNumberFormat="1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center" vertical="center"/>
    </xf>
    <xf numFmtId="167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1" fontId="11" fillId="12" borderId="1" xfId="0" applyNumberFormat="1" applyFont="1" applyFill="1" applyBorder="1" applyAlignment="1">
      <alignment horizontal="center" vertical="center"/>
    </xf>
    <xf numFmtId="3" fontId="11" fillId="12" borderId="1" xfId="0" applyNumberFormat="1" applyFont="1" applyFill="1" applyBorder="1" applyAlignment="1">
      <alignment horizontal="center" vertical="center"/>
    </xf>
    <xf numFmtId="167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" fontId="13" fillId="2" borderId="0" xfId="0" applyNumberFormat="1" applyFont="1" applyFill="1" applyAlignment="1">
      <alignment horizontal="center" vertical="center"/>
    </xf>
    <xf numFmtId="167" fontId="13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9" fontId="15" fillId="6" borderId="1" xfId="0" applyNumberFormat="1" applyFont="1" applyFill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9" fontId="15" fillId="10" borderId="1" xfId="0" applyNumberFormat="1" applyFont="1" applyFill="1" applyBorder="1" applyAlignment="1">
      <alignment horizontal="center" vertical="center"/>
    </xf>
    <xf numFmtId="3" fontId="15" fillId="10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9" fontId="15" fillId="12" borderId="1" xfId="0" applyNumberFormat="1" applyFont="1" applyFill="1" applyBorder="1" applyAlignment="1">
      <alignment horizontal="center" vertical="center"/>
    </xf>
    <xf numFmtId="3" fontId="15" fillId="12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167" fontId="0" fillId="10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18" fillId="10" borderId="1" xfId="0" applyFont="1" applyFill="1" applyBorder="1"/>
    <xf numFmtId="0" fontId="19" fillId="10" borderId="1" xfId="0" applyFont="1" applyFill="1" applyBorder="1"/>
    <xf numFmtId="0" fontId="15" fillId="13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/>
    </xf>
    <xf numFmtId="167" fontId="0" fillId="12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20" fillId="12" borderId="1" xfId="0" applyFont="1" applyFill="1" applyBorder="1"/>
    <xf numFmtId="0" fontId="21" fillId="12" borderId="1" xfId="0" applyFont="1" applyFill="1" applyBorder="1"/>
    <xf numFmtId="0" fontId="17" fillId="1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1" fontId="11" fillId="14" borderId="1" xfId="0" applyNumberFormat="1" applyFont="1" applyFill="1" applyBorder="1" applyAlignment="1">
      <alignment horizontal="center" vertical="center"/>
    </xf>
    <xf numFmtId="3" fontId="11" fillId="14" borderId="1" xfId="0" applyNumberFormat="1" applyFont="1" applyFill="1" applyBorder="1" applyAlignment="1">
      <alignment horizontal="center" vertical="center"/>
    </xf>
    <xf numFmtId="167" fontId="11" fillId="14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168" fontId="12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/>
    </xf>
    <xf numFmtId="0" fontId="26" fillId="13" borderId="1" xfId="0" applyFont="1" applyFill="1" applyBorder="1" applyAlignment="1">
      <alignment horizontal="left" vertical="center"/>
    </xf>
    <xf numFmtId="1" fontId="11" fillId="13" borderId="1" xfId="0" applyNumberFormat="1" applyFont="1" applyFill="1" applyBorder="1" applyAlignment="1">
      <alignment horizontal="center" vertical="center"/>
    </xf>
    <xf numFmtId="3" fontId="11" fillId="13" borderId="1" xfId="0" applyNumberFormat="1" applyFont="1" applyFill="1" applyBorder="1" applyAlignment="1">
      <alignment horizontal="center" vertical="center"/>
    </xf>
    <xf numFmtId="167" fontId="11" fillId="13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25" fillId="14" borderId="1" xfId="0" applyFont="1" applyFill="1" applyBorder="1"/>
    <xf numFmtId="0" fontId="0" fillId="14" borderId="1" xfId="0" applyFill="1" applyBorder="1"/>
    <xf numFmtId="0" fontId="25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0UVUMZ94/PIPELINE_V3_UPDATED_190526.xlsx" TargetMode="External"/><Relationship Id="rId2" Type="http://schemas.openxmlformats.org/officeDocument/2006/relationships/externalLinkPath" Target="file:///C:\Users\Administrateur\AppData\Local\Microsoft\Windows\INetCache\Content.Outlook\0UVUMZ94\PIPELINE_V3_UPDATED_190526.xlsx" TargetMode="External"/><Relationship Id="rId1" Type="http://schemas.openxmlformats.org/officeDocument/2006/relationships/externalLinkPath" Target="/Users/Administrateur/AppData/Local/Microsoft/Windows/INetCache/Content.Outlook/0UVUMZ94/PIPELINE_V3_UPDATED_190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📊 SYNTHÈSE COMEX"/>
      <sheetName val="BASE DONNÉES"/>
      <sheetName val="📋 GUIDE"/>
      <sheetName val="_LISTES"/>
      <sheetName val="_CONFIG"/>
    </sheetNames>
    <sheetDataSet>
      <sheetData sheetId="0"/>
      <sheetData sheetId="1">
        <row r="1">
          <cell r="A1" t="str">
            <v>Commercial</v>
          </cell>
          <cell r="D1" t="str">
            <v>Segment</v>
          </cell>
          <cell r="H1" t="str">
            <v>Potentiel (MAD)</v>
          </cell>
          <cell r="I1" t="str">
            <v>Probabilité</v>
          </cell>
          <cell r="L1" t="str">
            <v>Statut</v>
          </cell>
          <cell r="O1" t="str">
            <v>Priorité (auto)</v>
          </cell>
        </row>
        <row r="2">
          <cell r="A2" t="str">
            <v>Bruno</v>
          </cell>
          <cell r="D2" t="str">
            <v>Institutional</v>
          </cell>
          <cell r="H2">
            <v>92941000</v>
          </cell>
          <cell r="I2">
            <v>0.1</v>
          </cell>
          <cell r="L2" t="str">
            <v>Prospection</v>
          </cell>
          <cell r="O2" t="str">
            <v>LOW</v>
          </cell>
          <cell r="P2" t="str">
            <v>⚠ SANS ACTION PLANIFIÉE ⚠ DATE ACTION MANQUANTE</v>
          </cell>
          <cell r="R2" t="str">
            <v>Dépassé</v>
          </cell>
          <cell r="V2" t="str">
            <v>⚠ SANS ACTION PLANIFIÉE ⚠ DATE ACTION MANQUANTE</v>
          </cell>
        </row>
        <row r="3">
          <cell r="A3" t="str">
            <v>Amine</v>
          </cell>
          <cell r="D3" t="str">
            <v>Residential</v>
          </cell>
          <cell r="H3">
            <v>1500000</v>
          </cell>
          <cell r="I3">
            <v>0</v>
          </cell>
          <cell r="L3" t="str">
            <v>Perdu</v>
          </cell>
          <cell r="O3" t="str">
            <v>—</v>
          </cell>
          <cell r="P3" t="str">
            <v/>
          </cell>
          <cell r="R3" t="str">
            <v>Dépassé</v>
          </cell>
          <cell r="V3" t="str">
            <v/>
          </cell>
        </row>
        <row r="4">
          <cell r="A4" t="str">
            <v>Amine</v>
          </cell>
          <cell r="D4" t="str">
            <v>Residential</v>
          </cell>
          <cell r="H4">
            <v>700000</v>
          </cell>
          <cell r="I4">
            <v>1</v>
          </cell>
          <cell r="L4" t="str">
            <v>Gagné</v>
          </cell>
          <cell r="O4" t="str">
            <v>HIGH</v>
          </cell>
          <cell r="P4" t="str">
            <v/>
          </cell>
          <cell r="R4" t="str">
            <v>Dépassé</v>
          </cell>
          <cell r="V4" t="str">
            <v/>
          </cell>
        </row>
        <row r="5">
          <cell r="A5" t="str">
            <v>Bruno</v>
          </cell>
          <cell r="D5" t="str">
            <v>Commercial</v>
          </cell>
          <cell r="H5">
            <v>30102294</v>
          </cell>
          <cell r="I5">
            <v>0.1</v>
          </cell>
          <cell r="L5" t="str">
            <v>Prospection</v>
          </cell>
          <cell r="O5" t="str">
            <v>LOW</v>
          </cell>
          <cell r="P5" t="str">
            <v>⚠ SANS ACTION PLANIFIÉE ⚠ DATE ACTION MANQUANTE</v>
          </cell>
          <cell r="R5" t="str">
            <v>Dépassé</v>
          </cell>
          <cell r="V5" t="str">
            <v>⚠ SANS ACTION PLANIFIÉE ⚠ DATE ACTION MANQUANTE</v>
          </cell>
        </row>
        <row r="6">
          <cell r="A6" t="str">
            <v>Bruno</v>
          </cell>
          <cell r="D6" t="str">
            <v>Hospitality</v>
          </cell>
          <cell r="H6">
            <v>20000000</v>
          </cell>
          <cell r="I6">
            <v>0.5</v>
          </cell>
          <cell r="L6" t="str">
            <v>En cours</v>
          </cell>
          <cell r="O6" t="str">
            <v>MEDIUM</v>
          </cell>
          <cell r="P6" t="str">
            <v>⚠ SANS ACTION PLANIFIÉE ⚠ DATE ACTION MANQUANTE</v>
          </cell>
          <cell r="R6" t="str">
            <v>Dépassé</v>
          </cell>
          <cell r="V6" t="str">
            <v>⚠ SANS ACTION PLANIFIÉE ⚠ DATE ACTION MANQUANTE</v>
          </cell>
        </row>
        <row r="7">
          <cell r="A7" t="str">
            <v>Bruno</v>
          </cell>
          <cell r="D7" t="str">
            <v>Residential</v>
          </cell>
          <cell r="H7">
            <v>25858325</v>
          </cell>
          <cell r="I7">
            <v>0.1</v>
          </cell>
          <cell r="L7" t="str">
            <v>Prospection</v>
          </cell>
          <cell r="O7" t="str">
            <v>LOW</v>
          </cell>
          <cell r="P7" t="str">
            <v>⚠ SANS ACTION PLANIFIÉE ⚠ DATE ACTION MANQUANTE</v>
          </cell>
          <cell r="R7" t="str">
            <v>Dépassé</v>
          </cell>
          <cell r="V7" t="str">
            <v>⚠ SANS ACTION PLANIFIÉE ⚠ DATE ACTION MANQUANTE</v>
          </cell>
        </row>
        <row r="8">
          <cell r="A8" t="str">
            <v>Bruno</v>
          </cell>
          <cell r="D8" t="str">
            <v>Residential</v>
          </cell>
          <cell r="H8">
            <v>21000001</v>
          </cell>
          <cell r="I8">
            <v>0.1</v>
          </cell>
          <cell r="L8" t="str">
            <v>Prospection</v>
          </cell>
          <cell r="O8" t="str">
            <v>LOW</v>
          </cell>
          <cell r="P8" t="str">
            <v>⚠ SANS ACTION PLANIFIÉE ⚠ DATE ACTION MANQUANTE</v>
          </cell>
          <cell r="R8" t="str">
            <v>Dépassé</v>
          </cell>
          <cell r="V8" t="str">
            <v>⚠ SANS ACTION PLANIFIÉE ⚠ DATE ACTION MANQUANTE</v>
          </cell>
        </row>
        <row r="9">
          <cell r="A9" t="str">
            <v>Bruno</v>
          </cell>
          <cell r="D9" t="str">
            <v>Residential</v>
          </cell>
          <cell r="H9">
            <v>21000000</v>
          </cell>
          <cell r="I9">
            <v>0.8</v>
          </cell>
          <cell r="L9" t="str">
            <v>Prospection</v>
          </cell>
          <cell r="O9" t="str">
            <v>HIGH</v>
          </cell>
          <cell r="P9" t="str">
            <v>⚠ STATUT/PROB INCOHÉRENT ⚠ SANS ACTION PLANIFIÉE ⚠ DATE ACTION MANQUANTE ⚠ 80%+ SANS ACTION</v>
          </cell>
          <cell r="R9" t="str">
            <v>Dépassé</v>
          </cell>
          <cell r="V9" t="str">
            <v>⚠ STATUT/PROB INCOHÉRENT ⚠ SANS ACTION PLANIFIÉE ⚠ DATE ACTION MANQUANTE ⚠ 80%+ SANS ACTION</v>
          </cell>
        </row>
        <row r="10">
          <cell r="A10" t="str">
            <v>Oussama</v>
          </cell>
          <cell r="D10" t="str">
            <v>Hospitality</v>
          </cell>
          <cell r="H10">
            <v>18056750</v>
          </cell>
          <cell r="I10">
            <v>0.8</v>
          </cell>
          <cell r="L10" t="str">
            <v>En cours</v>
          </cell>
          <cell r="O10" t="str">
            <v>HIGH</v>
          </cell>
          <cell r="P10" t="str">
            <v>⚠ SANS ACTION PLANIFIÉE ⚠ DATE ACTION MANQUANTE ⚠ 80%+ SANS ACTION</v>
          </cell>
          <cell r="R10" t="str">
            <v>Dépassé</v>
          </cell>
          <cell r="V10" t="str">
            <v>⚠ SANS ACTION PLANIFIÉE ⚠ DATE ACTION MANQUANTE ⚠ 80%+ SANS ACTION</v>
          </cell>
        </row>
        <row r="11">
          <cell r="A11" t="str">
            <v>Bruno</v>
          </cell>
          <cell r="D11" t="str">
            <v>Residential</v>
          </cell>
          <cell r="H11">
            <v>15257300</v>
          </cell>
          <cell r="I11">
            <v>0.1</v>
          </cell>
          <cell r="L11" t="str">
            <v>Prospection</v>
          </cell>
          <cell r="O11" t="str">
            <v>LOW</v>
          </cell>
          <cell r="P11" t="str">
            <v>⚠ SANS ACTION PLANIFIÉE ⚠ DATE ACTION MANQUANTE</v>
          </cell>
          <cell r="R11" t="str">
            <v>Dépassé</v>
          </cell>
          <cell r="V11" t="str">
            <v>⚠ SANS ACTION PLANIFIÉE ⚠ DATE ACTION MANQUANTE</v>
          </cell>
        </row>
        <row r="12">
          <cell r="A12" t="str">
            <v>Amine</v>
          </cell>
          <cell r="D12" t="str">
            <v>Residential</v>
          </cell>
          <cell r="H12">
            <v>3000000</v>
          </cell>
          <cell r="I12">
            <v>0.8</v>
          </cell>
          <cell r="L12" t="str">
            <v>Prospection</v>
          </cell>
          <cell r="O12" t="str">
            <v>HIGH</v>
          </cell>
          <cell r="P12" t="str">
            <v>⚠ STATUT/PROB INCOHÉRENT ⚠ SANS ACTION PLANIFIÉE ⚠ DATE ACTION MANQUANTE ⚠ 80%+ SANS ACTION</v>
          </cell>
          <cell r="R12" t="str">
            <v>Dépassé</v>
          </cell>
          <cell r="V12" t="str">
            <v>⚠ STATUT/PROB INCOHÉRENT ⚠ SANS ACTION PLANIFIÉE ⚠ DATE ACTION MANQUANTE ⚠ 80%+ SANS ACTION</v>
          </cell>
        </row>
        <row r="13">
          <cell r="A13" t="str">
            <v>Bruno</v>
          </cell>
          <cell r="D13" t="str">
            <v>Residential</v>
          </cell>
          <cell r="H13">
            <v>11775700</v>
          </cell>
          <cell r="I13">
            <v>0.8</v>
          </cell>
          <cell r="L13" t="str">
            <v>Prospection</v>
          </cell>
          <cell r="O13" t="str">
            <v>HIGH</v>
          </cell>
          <cell r="P13" t="str">
            <v>⚠ STATUT/PROB INCOHÉRENT ⚠ SANS ACTION PLANIFIÉE ⚠ DATE ACTION MANQUANTE ⚠ 80%+ SANS ACTION</v>
          </cell>
          <cell r="R13" t="str">
            <v>Dépassé</v>
          </cell>
          <cell r="V13" t="str">
            <v>⚠ STATUT/PROB INCOHÉRENT ⚠ SANS ACTION PLANIFIÉE ⚠ DATE ACTION MANQUANTE ⚠ 80%+ SANS ACTION</v>
          </cell>
        </row>
        <row r="14">
          <cell r="A14" t="str">
            <v>Bruno</v>
          </cell>
          <cell r="D14" t="str">
            <v>Hospitality</v>
          </cell>
          <cell r="H14">
            <v>11702000</v>
          </cell>
          <cell r="I14">
            <v>0.1</v>
          </cell>
          <cell r="L14" t="str">
            <v>Prospection</v>
          </cell>
          <cell r="O14" t="str">
            <v>LOW</v>
          </cell>
          <cell r="P14" t="str">
            <v>⚠ SANS ACTION PLANIFIÉE ⚠ DATE ACTION MANQUANTE</v>
          </cell>
          <cell r="R14" t="str">
            <v>Dépassé</v>
          </cell>
          <cell r="V14" t="str">
            <v>⚠ SANS ACTION PLANIFIÉE ⚠ DATE ACTION MANQUANTE</v>
          </cell>
        </row>
        <row r="15">
          <cell r="A15" t="str">
            <v>Bruno</v>
          </cell>
          <cell r="D15" t="str">
            <v>Residential</v>
          </cell>
          <cell r="H15">
            <v>9900000</v>
          </cell>
          <cell r="I15">
            <v>0.1</v>
          </cell>
          <cell r="L15" t="str">
            <v>Prospection</v>
          </cell>
          <cell r="O15" t="str">
            <v>LOW</v>
          </cell>
          <cell r="P15" t="str">
            <v>⚠ SANS ACTION PLANIFIÉE ⚠ DATE ACTION MANQUANTE</v>
          </cell>
          <cell r="R15" t="str">
            <v>Dépassé</v>
          </cell>
          <cell r="V15" t="str">
            <v>⚠ SANS ACTION PLANIFIÉE ⚠ DATE ACTION MANQUANTE</v>
          </cell>
        </row>
        <row r="16">
          <cell r="A16" t="str">
            <v>Bruno</v>
          </cell>
          <cell r="D16" t="str">
            <v>Commercial</v>
          </cell>
          <cell r="H16">
            <v>9000000</v>
          </cell>
          <cell r="I16">
            <v>0.5</v>
          </cell>
          <cell r="L16" t="str">
            <v>Prospection</v>
          </cell>
          <cell r="O16" t="str">
            <v>MEDIUM</v>
          </cell>
          <cell r="P16" t="str">
            <v>⚠ SANS ACTION PLANIFIÉE ⚠ DATE ACTION MANQUANTE</v>
          </cell>
          <cell r="R16" t="str">
            <v>Dépassé</v>
          </cell>
          <cell r="V16" t="str">
            <v>⚠ SANS ACTION PLANIFIÉE ⚠ DATE ACTION MANQUANTE</v>
          </cell>
        </row>
        <row r="17">
          <cell r="A17" t="str">
            <v>Bruno</v>
          </cell>
          <cell r="D17" t="str">
            <v>Commercial</v>
          </cell>
          <cell r="H17">
            <v>8839000</v>
          </cell>
          <cell r="I17">
            <v>0.1</v>
          </cell>
          <cell r="L17" t="str">
            <v>Prospection</v>
          </cell>
          <cell r="O17" t="str">
            <v>LOW</v>
          </cell>
          <cell r="P17" t="str">
            <v>⚠ SANS ACTION PLANIFIÉE ⚠ DATE ACTION MANQUANTE</v>
          </cell>
          <cell r="R17" t="str">
            <v>Dépassé</v>
          </cell>
          <cell r="V17" t="str">
            <v>⚠ SANS ACTION PLANIFIÉE ⚠ DATE ACTION MANQUANTE</v>
          </cell>
        </row>
        <row r="18">
          <cell r="A18" t="str">
            <v>Bruno</v>
          </cell>
          <cell r="D18" t="str">
            <v>Residential</v>
          </cell>
          <cell r="H18">
            <v>8333732.0140800001</v>
          </cell>
          <cell r="I18">
            <v>0</v>
          </cell>
          <cell r="L18" t="str">
            <v>Perdu</v>
          </cell>
          <cell r="O18" t="str">
            <v>—</v>
          </cell>
          <cell r="P18" t="str">
            <v/>
          </cell>
          <cell r="R18" t="str">
            <v>Dépassé</v>
          </cell>
          <cell r="V18" t="str">
            <v/>
          </cell>
        </row>
        <row r="19">
          <cell r="A19" t="str">
            <v>Amine</v>
          </cell>
          <cell r="D19" t="str">
            <v>Residential</v>
          </cell>
          <cell r="H19">
            <v>4000000</v>
          </cell>
          <cell r="I19">
            <v>0.5</v>
          </cell>
          <cell r="L19" t="str">
            <v>Prospection</v>
          </cell>
        </row>
        <row r="20">
          <cell r="A20" t="str">
            <v>Amine</v>
          </cell>
          <cell r="D20" t="str">
            <v>Residential</v>
          </cell>
          <cell r="H20">
            <v>4000000</v>
          </cell>
          <cell r="I20">
            <v>0.5</v>
          </cell>
          <cell r="L20" t="str">
            <v>Prospection</v>
          </cell>
        </row>
        <row r="21">
          <cell r="A21" t="str">
            <v>Amine</v>
          </cell>
          <cell r="D21" t="str">
            <v>Residential</v>
          </cell>
          <cell r="H21">
            <v>2100000</v>
          </cell>
          <cell r="I21">
            <v>0.8</v>
          </cell>
          <cell r="L21" t="str">
            <v>Prospection</v>
          </cell>
        </row>
        <row r="23">
          <cell r="A23" t="str">
            <v>Amine</v>
          </cell>
          <cell r="D23" t="str">
            <v>Residential</v>
          </cell>
          <cell r="H23">
            <v>1800000</v>
          </cell>
          <cell r="I23">
            <v>0.8</v>
          </cell>
          <cell r="L23" t="str">
            <v>Négociation</v>
          </cell>
          <cell r="O23" t="str">
            <v>HIGH</v>
          </cell>
          <cell r="P23" t="str">
            <v>⚠ SANS ACTION PLANIFIÉE ⚠ DATE ACTION MANQUANTE ⚠ 80%+ SANS ACTION</v>
          </cell>
          <cell r="R23" t="str">
            <v>Dépassé</v>
          </cell>
          <cell r="V23" t="str">
            <v>⚠ SANS ACTION PLANIFIÉE ⚠ DATE ACTION MANQUANTE ⚠ 80%+ SANS ACTION</v>
          </cell>
        </row>
        <row r="24">
          <cell r="A24" t="str">
            <v>Bruno</v>
          </cell>
          <cell r="D24" t="str">
            <v>Residential</v>
          </cell>
          <cell r="H24">
            <v>8000000</v>
          </cell>
          <cell r="I24">
            <v>0.5</v>
          </cell>
          <cell r="L24" t="str">
            <v>Prospection</v>
          </cell>
          <cell r="O24" t="str">
            <v>MEDIUM</v>
          </cell>
          <cell r="P24" t="str">
            <v>⚠ SANS ACTION PLANIFIÉE ⚠ DATE ACTION MANQUANTE</v>
          </cell>
          <cell r="R24" t="str">
            <v>Dépassé</v>
          </cell>
          <cell r="V24" t="str">
            <v>⚠ SANS ACTION PLANIFIÉE ⚠ DATE ACTION MANQUANTE</v>
          </cell>
        </row>
        <row r="25">
          <cell r="A25" t="str">
            <v>Bruno</v>
          </cell>
          <cell r="D25" t="str">
            <v>Residential</v>
          </cell>
          <cell r="H25">
            <v>7900000</v>
          </cell>
          <cell r="I25">
            <v>0.1</v>
          </cell>
          <cell r="L25" t="str">
            <v>Prospection</v>
          </cell>
          <cell r="O25" t="str">
            <v>LOW</v>
          </cell>
          <cell r="P25" t="str">
            <v>⚠ SANS ACTION PLANIFIÉE ⚠ DATE ACTION MANQUANTE</v>
          </cell>
          <cell r="R25" t="str">
            <v>Dépassé</v>
          </cell>
          <cell r="V25" t="str">
            <v>⚠ SANS ACTION PLANIFIÉE ⚠ DATE ACTION MANQUANTE</v>
          </cell>
        </row>
        <row r="26">
          <cell r="A26" t="str">
            <v>Bruno</v>
          </cell>
          <cell r="D26" t="str">
            <v>Residential</v>
          </cell>
          <cell r="H26">
            <v>7750000</v>
          </cell>
          <cell r="I26">
            <v>0.5</v>
          </cell>
          <cell r="L26" t="str">
            <v>Prospection</v>
          </cell>
          <cell r="O26" t="str">
            <v>MEDIUM</v>
          </cell>
          <cell r="P26" t="str">
            <v>⚠ SANS ACTION PLANIFIÉE ⚠ DATE ACTION MANQUANTE</v>
          </cell>
          <cell r="R26" t="str">
            <v>Dépassé</v>
          </cell>
          <cell r="V26" t="str">
            <v>⚠ SANS ACTION PLANIFIÉE ⚠ DATE ACTION MANQUANTE</v>
          </cell>
        </row>
        <row r="27">
          <cell r="A27" t="str">
            <v>Bruno</v>
          </cell>
          <cell r="D27" t="str">
            <v>Residential</v>
          </cell>
          <cell r="H27">
            <v>7726000</v>
          </cell>
          <cell r="I27">
            <v>0.5</v>
          </cell>
          <cell r="L27" t="str">
            <v>Prospection</v>
          </cell>
          <cell r="O27" t="str">
            <v>MEDIUM</v>
          </cell>
          <cell r="P27" t="str">
            <v>⚠ SANS ACTION PLANIFIÉE ⚠ DATE ACTION MANQUANTE</v>
          </cell>
          <cell r="R27" t="str">
            <v>Dépassé</v>
          </cell>
          <cell r="V27" t="str">
            <v>⚠ SANS ACTION PLANIFIÉE ⚠ DATE ACTION MANQUANTE</v>
          </cell>
        </row>
        <row r="28">
          <cell r="A28" t="str">
            <v>Oussama</v>
          </cell>
          <cell r="D28" t="str">
            <v>Commercial</v>
          </cell>
          <cell r="H28">
            <v>7400000</v>
          </cell>
          <cell r="I28">
            <v>0</v>
          </cell>
          <cell r="L28" t="str">
            <v>Perdu</v>
          </cell>
          <cell r="O28" t="str">
            <v>—</v>
          </cell>
          <cell r="P28" t="str">
            <v/>
          </cell>
          <cell r="R28" t="str">
            <v>Dépassé</v>
          </cell>
          <cell r="V28" t="str">
            <v/>
          </cell>
        </row>
        <row r="29">
          <cell r="A29" t="str">
            <v>Bruno</v>
          </cell>
          <cell r="D29" t="str">
            <v>Residential</v>
          </cell>
          <cell r="H29">
            <v>7120000</v>
          </cell>
          <cell r="I29">
            <v>0.8</v>
          </cell>
          <cell r="L29" t="str">
            <v>Prospection</v>
          </cell>
          <cell r="O29" t="str">
            <v>HIGH</v>
          </cell>
          <cell r="P29" t="str">
            <v>⚠ STATUT/PROB INCOHÉRENT ⚠ SANS ACTION PLANIFIÉE ⚠ DATE ACTION MANQUANTE ⚠ 80%+ SANS ACTION</v>
          </cell>
          <cell r="R29" t="str">
            <v>Dépassé</v>
          </cell>
          <cell r="V29" t="str">
            <v>⚠ STATUT/PROB INCOHÉRENT ⚠ SANS ACTION PLANIFIÉE ⚠ DATE ACTION MANQUANTE ⚠ 80%+ SANS ACTION</v>
          </cell>
        </row>
        <row r="30">
          <cell r="A30" t="str">
            <v>Bruno</v>
          </cell>
          <cell r="D30" t="str">
            <v>Residential</v>
          </cell>
          <cell r="H30">
            <v>9800000</v>
          </cell>
          <cell r="I30">
            <v>0.8</v>
          </cell>
          <cell r="L30" t="str">
            <v>En cours</v>
          </cell>
          <cell r="O30" t="str">
            <v>HIGH</v>
          </cell>
          <cell r="P30" t="str">
            <v>⚠ SANS ACTION PLANIFIÉE ⚠ DATE ACTION MANQUANTE ⚠ 80%+ SANS ACTION</v>
          </cell>
          <cell r="R30" t="str">
            <v>Dépassé</v>
          </cell>
          <cell r="V30" t="str">
            <v>⚠ SANS ACTION PLANIFIÉE ⚠ DATE ACTION MANQUANTE ⚠ 80%+ SANS ACTION</v>
          </cell>
        </row>
        <row r="31">
          <cell r="A31" t="str">
            <v>Bruno</v>
          </cell>
          <cell r="D31" t="str">
            <v>Residential</v>
          </cell>
          <cell r="H31">
            <v>7000000</v>
          </cell>
          <cell r="I31">
            <v>0.1</v>
          </cell>
          <cell r="L31" t="str">
            <v>En cours</v>
          </cell>
          <cell r="O31" t="str">
            <v>LOW</v>
          </cell>
          <cell r="P31" t="str">
            <v>⚠ SANS ACTION PLANIFIÉE ⚠ DATE ACTION MANQUANTE</v>
          </cell>
          <cell r="R31" t="str">
            <v>Dépassé</v>
          </cell>
          <cell r="V31" t="str">
            <v>⚠ SANS ACTION PLANIFIÉE ⚠ DATE ACTION MANQUANTE</v>
          </cell>
        </row>
        <row r="32">
          <cell r="A32" t="str">
            <v>Bruno</v>
          </cell>
          <cell r="D32" t="str">
            <v>Residential</v>
          </cell>
          <cell r="H32">
            <v>7000000</v>
          </cell>
          <cell r="I32">
            <v>0.1</v>
          </cell>
          <cell r="L32" t="str">
            <v>En cours</v>
          </cell>
          <cell r="O32" t="str">
            <v>LOW</v>
          </cell>
          <cell r="P32" t="str">
            <v>⚠ SANS ACTION PLANIFIÉE ⚠ DATE ACTION MANQUANTE</v>
          </cell>
          <cell r="R32" t="str">
            <v>Dépassé</v>
          </cell>
          <cell r="V32" t="str">
            <v>⚠ SANS ACTION PLANIFIÉE ⚠ DATE ACTION MANQUANTE</v>
          </cell>
        </row>
        <row r="33">
          <cell r="A33" t="str">
            <v>Amine</v>
          </cell>
          <cell r="D33" t="str">
            <v>Institutional</v>
          </cell>
          <cell r="H33">
            <v>11500000</v>
          </cell>
          <cell r="I33">
            <v>0.5</v>
          </cell>
          <cell r="L33" t="str">
            <v>En cours</v>
          </cell>
          <cell r="O33" t="str">
            <v>MEDIUM</v>
          </cell>
          <cell r="P33" t="str">
            <v>⚠ SANS ACTION PLANIFIÉE ⚠ DATE ACTION MANQUANTE</v>
          </cell>
          <cell r="R33" t="str">
            <v>Dépassé</v>
          </cell>
          <cell r="V33" t="str">
            <v>⚠ SANS ACTION PLANIFIÉE ⚠ DATE ACTION MANQUANTE</v>
          </cell>
        </row>
        <row r="34">
          <cell r="A34" t="str">
            <v>Bruno</v>
          </cell>
          <cell r="D34" t="str">
            <v>Commercial</v>
          </cell>
          <cell r="H34">
            <v>7200000</v>
          </cell>
          <cell r="I34">
            <v>1</v>
          </cell>
          <cell r="L34" t="str">
            <v>Gagné</v>
          </cell>
          <cell r="O34" t="str">
            <v>HIGH</v>
          </cell>
          <cell r="P34" t="str">
            <v/>
          </cell>
          <cell r="R34" t="str">
            <v>Dépassé</v>
          </cell>
          <cell r="V34" t="str">
            <v/>
          </cell>
        </row>
        <row r="35">
          <cell r="A35" t="str">
            <v>Bruno</v>
          </cell>
          <cell r="D35" t="str">
            <v>Commercial</v>
          </cell>
          <cell r="H35">
            <v>5500000</v>
          </cell>
          <cell r="I35">
            <v>0.5</v>
          </cell>
          <cell r="L35" t="str">
            <v>En cours</v>
          </cell>
          <cell r="O35" t="str">
            <v>MEDIUM</v>
          </cell>
          <cell r="P35" t="str">
            <v>⚠ SANS ACTION PLANIFIÉE ⚠ DATE ACTION MANQUANTE</v>
          </cell>
          <cell r="R35" t="str">
            <v>Dépassé</v>
          </cell>
          <cell r="V35" t="str">
            <v>⚠ SANS ACTION PLANIFIÉE ⚠ DATE ACTION MANQUANTE</v>
          </cell>
        </row>
        <row r="36">
          <cell r="A36" t="str">
            <v>Bruno</v>
          </cell>
          <cell r="D36" t="str">
            <v>Residential</v>
          </cell>
          <cell r="H36">
            <v>5340000</v>
          </cell>
          <cell r="I36">
            <v>0.8</v>
          </cell>
          <cell r="L36" t="str">
            <v>Prospection</v>
          </cell>
          <cell r="O36" t="str">
            <v>HIGH</v>
          </cell>
          <cell r="P36" t="str">
            <v>⚠ STATUT/PROB INCOHÉRENT ⚠ SANS ACTION PLANIFIÉE ⚠ DATE ACTION MANQUANTE ⚠ 80%+ SANS ACTION</v>
          </cell>
          <cell r="R36" t="str">
            <v>Dépassé</v>
          </cell>
          <cell r="V36" t="str">
            <v>⚠ STATUT/PROB INCOHÉRENT ⚠ SANS ACTION PLANIFIÉE ⚠ DATE ACTION MANQUANTE ⚠ 80%+ SANS ACTION</v>
          </cell>
        </row>
        <row r="37">
          <cell r="A37" t="str">
            <v>Bruno</v>
          </cell>
          <cell r="D37" t="str">
            <v>Residential</v>
          </cell>
          <cell r="H37">
            <v>5150981</v>
          </cell>
          <cell r="I37">
            <v>0.5</v>
          </cell>
          <cell r="L37" t="str">
            <v>En cours</v>
          </cell>
          <cell r="O37" t="str">
            <v>MEDIUM</v>
          </cell>
          <cell r="P37" t="str">
            <v>⚠ SANS ACTION PLANIFIÉE ⚠ DATE ACTION MANQUANTE</v>
          </cell>
          <cell r="R37" t="str">
            <v>Dépassé</v>
          </cell>
          <cell r="V37" t="str">
            <v>⚠ SANS ACTION PLANIFIÉE ⚠ DATE ACTION MANQUANTE</v>
          </cell>
        </row>
        <row r="38">
          <cell r="A38" t="str">
            <v>Amine</v>
          </cell>
          <cell r="D38" t="str">
            <v>Hospitality</v>
          </cell>
          <cell r="H38">
            <v>4000000</v>
          </cell>
          <cell r="I38">
            <v>0.8</v>
          </cell>
          <cell r="L38" t="str">
            <v>Négociation</v>
          </cell>
          <cell r="O38" t="str">
            <v>HIGH</v>
          </cell>
          <cell r="P38" t="str">
            <v>⚠ SANS ACTION PLANIFIÉE ⚠ DATE ACTION MANQUANTE ⚠ 80%+ SANS ACTION</v>
          </cell>
          <cell r="R38" t="str">
            <v>Dépassé</v>
          </cell>
          <cell r="V38" t="str">
            <v>⚠ SANS ACTION PLANIFIÉE ⚠ DATE ACTION MANQUANTE ⚠ 80%+ SANS ACTION</v>
          </cell>
        </row>
        <row r="39">
          <cell r="A39" t="str">
            <v>Amine</v>
          </cell>
          <cell r="D39" t="str">
            <v>Residential</v>
          </cell>
          <cell r="H39">
            <v>7450000</v>
          </cell>
          <cell r="I39">
            <v>1</v>
          </cell>
          <cell r="L39" t="str">
            <v>Gagné</v>
          </cell>
          <cell r="O39" t="str">
            <v>HIGH</v>
          </cell>
          <cell r="P39" t="str">
            <v/>
          </cell>
          <cell r="R39" t="str">
            <v>Dépassé</v>
          </cell>
          <cell r="V39" t="str">
            <v/>
          </cell>
        </row>
        <row r="40">
          <cell r="A40" t="str">
            <v>Bruno</v>
          </cell>
          <cell r="D40" t="str">
            <v>Hospitality</v>
          </cell>
          <cell r="H40">
            <v>5000000</v>
          </cell>
          <cell r="I40">
            <v>0.5</v>
          </cell>
          <cell r="L40" t="str">
            <v>Prospection</v>
          </cell>
          <cell r="O40" t="str">
            <v>MEDIUM</v>
          </cell>
          <cell r="P40" t="str">
            <v>⚠ SANS ACTION PLANIFIÉE ⚠ DATE ACTION MANQUANTE</v>
          </cell>
          <cell r="R40" t="str">
            <v>Dépassé</v>
          </cell>
          <cell r="V40" t="str">
            <v>⚠ SANS ACTION PLANIFIÉE ⚠ DATE ACTION MANQUANTE</v>
          </cell>
        </row>
        <row r="41">
          <cell r="A41" t="str">
            <v>Ibtissam</v>
          </cell>
          <cell r="D41" t="str">
            <v>Residential</v>
          </cell>
          <cell r="H41">
            <v>5000000</v>
          </cell>
          <cell r="I41">
            <v>0.8</v>
          </cell>
          <cell r="L41" t="str">
            <v>En cours</v>
          </cell>
          <cell r="O41" t="str">
            <v>HIGH</v>
          </cell>
          <cell r="P41" t="str">
            <v>⚠ SANS ACTION PLANIFIÉE ⚠ DATE ACTION MANQUANTE ⚠ 80%+ SANS ACTION</v>
          </cell>
          <cell r="R41" t="str">
            <v>Dépassé</v>
          </cell>
          <cell r="V41" t="str">
            <v>⚠ SANS ACTION PLANIFIÉE ⚠ DATE ACTION MANQUANTE ⚠ 80%+ SANS ACTION</v>
          </cell>
        </row>
        <row r="42">
          <cell r="A42" t="str">
            <v>Bruno</v>
          </cell>
          <cell r="D42" t="str">
            <v>Residential</v>
          </cell>
          <cell r="H42">
            <v>4850000</v>
          </cell>
          <cell r="I42">
            <v>1</v>
          </cell>
          <cell r="L42" t="str">
            <v>Gagné</v>
          </cell>
          <cell r="O42" t="str">
            <v>HIGH</v>
          </cell>
          <cell r="P42" t="str">
            <v/>
          </cell>
          <cell r="R42" t="str">
            <v>Dépassé</v>
          </cell>
          <cell r="V42" t="str">
            <v/>
          </cell>
        </row>
        <row r="43">
          <cell r="A43" t="str">
            <v>Bruno</v>
          </cell>
          <cell r="D43" t="str">
            <v>Residential</v>
          </cell>
          <cell r="H43">
            <v>4685000</v>
          </cell>
          <cell r="I43">
            <v>0.1</v>
          </cell>
          <cell r="L43" t="str">
            <v>En cours</v>
          </cell>
          <cell r="O43" t="str">
            <v>LOW</v>
          </cell>
          <cell r="P43" t="str">
            <v>⚠ SANS ACTION PLANIFIÉE ⚠ DATE ACTION MANQUANTE</v>
          </cell>
          <cell r="R43" t="str">
            <v>Dépassé</v>
          </cell>
          <cell r="V43" t="str">
            <v>⚠ SANS ACTION PLANIFIÉE ⚠ DATE ACTION MANQUANTE</v>
          </cell>
        </row>
        <row r="44">
          <cell r="A44" t="str">
            <v>Bruno</v>
          </cell>
          <cell r="D44" t="str">
            <v>Residential</v>
          </cell>
          <cell r="H44">
            <v>4585325</v>
          </cell>
          <cell r="I44">
            <v>0.8</v>
          </cell>
          <cell r="L44" t="str">
            <v>En cours</v>
          </cell>
          <cell r="O44" t="str">
            <v>HIGH</v>
          </cell>
          <cell r="P44" t="str">
            <v>⚠ SANS ACTION PLANIFIÉE ⚠ DATE ACTION MANQUANTE ⚠ 80%+ SANS ACTION</v>
          </cell>
          <cell r="R44" t="str">
            <v>Dépassé</v>
          </cell>
          <cell r="V44" t="str">
            <v>⚠ SANS ACTION PLANIFIÉE ⚠ DATE ACTION MANQUANTE ⚠ 80%+ SANS ACTION</v>
          </cell>
        </row>
        <row r="45">
          <cell r="A45" t="str">
            <v>Bruno</v>
          </cell>
          <cell r="D45" t="str">
            <v>Residential</v>
          </cell>
          <cell r="H45">
            <v>4529366</v>
          </cell>
          <cell r="I45">
            <v>0.8</v>
          </cell>
          <cell r="L45" t="str">
            <v>En cours</v>
          </cell>
          <cell r="O45" t="str">
            <v>HIGH</v>
          </cell>
          <cell r="P45" t="str">
            <v>⚠ SANS ACTION PLANIFIÉE ⚠ DATE ACTION MANQUANTE ⚠ 80%+ SANS ACTION</v>
          </cell>
          <cell r="R45" t="str">
            <v>Dépassé</v>
          </cell>
          <cell r="V45" t="str">
            <v>⚠ SANS ACTION PLANIFIÉE ⚠ DATE ACTION MANQUANTE ⚠ 80%+ SANS ACTION</v>
          </cell>
        </row>
        <row r="46">
          <cell r="A46" t="str">
            <v>Amine</v>
          </cell>
          <cell r="D46" t="str">
            <v>Residential</v>
          </cell>
          <cell r="H46">
            <v>3000000</v>
          </cell>
          <cell r="I46">
            <v>0.1</v>
          </cell>
          <cell r="L46" t="str">
            <v>Prospection</v>
          </cell>
          <cell r="O46" t="str">
            <v>LOW</v>
          </cell>
          <cell r="P46" t="str">
            <v>⚠ SANS ACTION PLANIFIÉE ⚠ DATE ACTION MANQUANTE</v>
          </cell>
          <cell r="R46" t="str">
            <v>Dépassé</v>
          </cell>
          <cell r="V46" t="str">
            <v>⚠ SANS ACTION PLANIFIÉE ⚠ DATE ACTION MANQUANTE</v>
          </cell>
        </row>
        <row r="47">
          <cell r="A47" t="str">
            <v>Amine</v>
          </cell>
          <cell r="D47" t="str">
            <v>Residential</v>
          </cell>
          <cell r="H47">
            <v>3000000</v>
          </cell>
          <cell r="I47">
            <v>0.1</v>
          </cell>
          <cell r="L47" t="str">
            <v>Prospection</v>
          </cell>
          <cell r="O47" t="str">
            <v>LOW</v>
          </cell>
          <cell r="P47" t="str">
            <v>⚠ SANS ACTION PLANIFIÉE ⚠ DATE ACTION MANQUANTE</v>
          </cell>
          <cell r="R47" t="str">
            <v>Dépassé</v>
          </cell>
          <cell r="V47" t="str">
            <v>⚠ SANS ACTION PLANIFIÉE ⚠ DATE ACTION MANQUANTE</v>
          </cell>
        </row>
        <row r="48">
          <cell r="A48" t="str">
            <v>Amine</v>
          </cell>
          <cell r="D48" t="str">
            <v>Industrial &amp; Logistics</v>
          </cell>
          <cell r="H48">
            <v>2500000</v>
          </cell>
          <cell r="I48">
            <v>0.1</v>
          </cell>
          <cell r="L48" t="str">
            <v>En cours</v>
          </cell>
          <cell r="O48" t="str">
            <v>LOW</v>
          </cell>
          <cell r="P48" t="str">
            <v>⚠ SANS ACTION PLANIFIÉE ⚠ DATE ACTION MANQUANTE</v>
          </cell>
          <cell r="R48" t="str">
            <v>Dépassé</v>
          </cell>
          <cell r="V48" t="str">
            <v>⚠ SANS ACTION PLANIFIÉE ⚠ DATE ACTION MANQUANTE</v>
          </cell>
        </row>
        <row r="49">
          <cell r="A49" t="str">
            <v>Bruno</v>
          </cell>
          <cell r="D49" t="str">
            <v>Residential</v>
          </cell>
          <cell r="H49">
            <v>4000000</v>
          </cell>
          <cell r="I49">
            <v>0.5</v>
          </cell>
          <cell r="L49" t="str">
            <v>Prospection</v>
          </cell>
          <cell r="O49" t="str">
            <v>MEDIUM</v>
          </cell>
          <cell r="P49" t="str">
            <v>⚠ SANS ACTION PLANIFIÉE ⚠ DATE ACTION MANQUANTE</v>
          </cell>
          <cell r="R49" t="str">
            <v>Dépassé</v>
          </cell>
          <cell r="V49" t="str">
            <v>⚠ SANS ACTION PLANIFIÉE ⚠ DATE ACTION MANQUANTE</v>
          </cell>
        </row>
        <row r="50">
          <cell r="A50" t="str">
            <v>Bruno</v>
          </cell>
          <cell r="D50" t="str">
            <v>Residential</v>
          </cell>
          <cell r="H50">
            <v>3850000</v>
          </cell>
          <cell r="I50">
            <v>0.1</v>
          </cell>
          <cell r="L50" t="str">
            <v>En cours</v>
          </cell>
          <cell r="O50" t="str">
            <v>LOW</v>
          </cell>
          <cell r="P50" t="str">
            <v>⚠ SANS ACTION PLANIFIÉE ⚠ DATE ACTION MANQUANTE</v>
          </cell>
          <cell r="R50" t="str">
            <v>Dépassé</v>
          </cell>
          <cell r="V50" t="str">
            <v>⚠ SANS ACTION PLANIFIÉE ⚠ DATE ACTION MANQUANTE</v>
          </cell>
        </row>
        <row r="51">
          <cell r="A51" t="str">
            <v>Taoufik</v>
          </cell>
          <cell r="D51" t="str">
            <v>Residential</v>
          </cell>
          <cell r="H51">
            <v>3800000</v>
          </cell>
          <cell r="I51">
            <v>0.8</v>
          </cell>
          <cell r="L51" t="str">
            <v>Négociation</v>
          </cell>
          <cell r="O51" t="str">
            <v>HIGH</v>
          </cell>
          <cell r="P51" t="str">
            <v>⚠ SANS ACTION PLANIFIÉE ⚠ DATE ACTION MANQUANTE ⚠ 80%+ SANS ACTION</v>
          </cell>
          <cell r="R51" t="str">
            <v>Dépassé</v>
          </cell>
          <cell r="V51" t="str">
            <v>⚠ SANS ACTION PLANIFIÉE ⚠ DATE ACTION MANQUANTE ⚠ 80%+ SANS ACTION</v>
          </cell>
        </row>
        <row r="52">
          <cell r="A52" t="str">
            <v>Bruno</v>
          </cell>
          <cell r="D52" t="str">
            <v>Residential</v>
          </cell>
          <cell r="H52">
            <v>3629629.3017600002</v>
          </cell>
          <cell r="I52">
            <v>0</v>
          </cell>
          <cell r="L52" t="str">
            <v>Perdu</v>
          </cell>
          <cell r="O52" t="str">
            <v>—</v>
          </cell>
          <cell r="P52" t="str">
            <v/>
          </cell>
          <cell r="R52" t="str">
            <v>Dépassé</v>
          </cell>
          <cell r="V52" t="str">
            <v/>
          </cell>
        </row>
        <row r="53">
          <cell r="A53" t="str">
            <v>Bruno</v>
          </cell>
          <cell r="D53" t="str">
            <v>Residential</v>
          </cell>
          <cell r="H53">
            <v>3600000</v>
          </cell>
          <cell r="I53">
            <v>0.8</v>
          </cell>
          <cell r="L53" t="str">
            <v>En cours</v>
          </cell>
          <cell r="O53" t="str">
            <v>HIGH</v>
          </cell>
          <cell r="P53" t="str">
            <v>⚠ SANS ACTION PLANIFIÉE ⚠ DATE ACTION MANQUANTE ⚠ 80%+ SANS ACTION</v>
          </cell>
          <cell r="R53" t="str">
            <v>Dépassé</v>
          </cell>
          <cell r="V53" t="str">
            <v>⚠ SANS ACTION PLANIFIÉE ⚠ DATE ACTION MANQUANTE ⚠ 80%+ SANS ACTION</v>
          </cell>
        </row>
        <row r="54">
          <cell r="A54" t="str">
            <v>Bruno</v>
          </cell>
          <cell r="D54" t="str">
            <v>Residential</v>
          </cell>
          <cell r="H54">
            <v>3578000</v>
          </cell>
          <cell r="I54">
            <v>0.8</v>
          </cell>
          <cell r="L54" t="str">
            <v>En cours</v>
          </cell>
          <cell r="O54" t="str">
            <v>HIGH</v>
          </cell>
          <cell r="P54" t="str">
            <v>⚠ SANS ACTION PLANIFIÉE ⚠ DATE ACTION MANQUANTE ⚠ 80%+ SANS ACTION</v>
          </cell>
          <cell r="R54" t="str">
            <v>Dépassé</v>
          </cell>
          <cell r="V54" t="str">
            <v>⚠ SANS ACTION PLANIFIÉE ⚠ DATE ACTION MANQUANTE ⚠ 80%+ SANS ACTION</v>
          </cell>
        </row>
        <row r="55">
          <cell r="A55" t="str">
            <v>Bruno</v>
          </cell>
          <cell r="D55" t="str">
            <v>Residential</v>
          </cell>
          <cell r="H55">
            <v>3321089</v>
          </cell>
          <cell r="I55">
            <v>0.8</v>
          </cell>
          <cell r="L55" t="str">
            <v>En cours</v>
          </cell>
          <cell r="O55" t="str">
            <v>HIGH</v>
          </cell>
          <cell r="P55" t="str">
            <v>⚠ SANS ACTION PLANIFIÉE ⚠ DATE ACTION MANQUANTE ⚠ 80%+ SANS ACTION</v>
          </cell>
          <cell r="R55" t="str">
            <v>Dépassé</v>
          </cell>
          <cell r="V55" t="str">
            <v>⚠ SANS ACTION PLANIFIÉE ⚠ DATE ACTION MANQUANTE ⚠ 80%+ SANS ACTION</v>
          </cell>
        </row>
        <row r="56">
          <cell r="A56" t="str">
            <v>Bruno</v>
          </cell>
          <cell r="D56" t="str">
            <v>Residential</v>
          </cell>
          <cell r="H56">
            <v>3273000</v>
          </cell>
          <cell r="I56">
            <v>0.8</v>
          </cell>
          <cell r="L56" t="str">
            <v>En cours</v>
          </cell>
          <cell r="O56" t="str">
            <v>HIGH</v>
          </cell>
          <cell r="P56" t="str">
            <v>⚠ SANS ACTION PLANIFIÉE ⚠ DATE ACTION MANQUANTE ⚠ 80%+ SANS ACTION</v>
          </cell>
          <cell r="R56" t="str">
            <v>Dépassé</v>
          </cell>
          <cell r="V56" t="str">
            <v>⚠ SANS ACTION PLANIFIÉE ⚠ DATE ACTION MANQUANTE ⚠ 80%+ SANS ACTION</v>
          </cell>
        </row>
        <row r="57">
          <cell r="A57" t="str">
            <v>Taoufik</v>
          </cell>
          <cell r="D57" t="str">
            <v>Institutional</v>
          </cell>
          <cell r="H57">
            <v>3200000</v>
          </cell>
          <cell r="I57">
            <v>0.8</v>
          </cell>
          <cell r="L57" t="str">
            <v>Négociation</v>
          </cell>
          <cell r="O57" t="str">
            <v>HIGH</v>
          </cell>
          <cell r="P57" t="str">
            <v>⚠ SANS ACTION PLANIFIÉE ⚠ DATE ACTION MANQUANTE ⚠ 80%+ SANS ACTION</v>
          </cell>
          <cell r="R57" t="str">
            <v>Dépassé</v>
          </cell>
          <cell r="V57" t="str">
            <v>⚠ SANS ACTION PLANIFIÉE ⚠ DATE ACTION MANQUANTE ⚠ 80%+ SANS ACTION</v>
          </cell>
        </row>
        <row r="58">
          <cell r="A58" t="str">
            <v>Taoufik</v>
          </cell>
          <cell r="D58" t="str">
            <v>Residential</v>
          </cell>
          <cell r="H58">
            <v>3200000</v>
          </cell>
          <cell r="I58">
            <v>0.5</v>
          </cell>
          <cell r="L58" t="str">
            <v>Prospection</v>
          </cell>
          <cell r="O58" t="str">
            <v>MEDIUM</v>
          </cell>
          <cell r="P58" t="str">
            <v>⚠ SANS ACTION PLANIFIÉE ⚠ DATE ACTION MANQUANTE</v>
          </cell>
          <cell r="R58" t="str">
            <v>Dépassé</v>
          </cell>
          <cell r="V58" t="str">
            <v>⚠ SANS ACTION PLANIFIÉE ⚠ DATE ACTION MANQUANTE</v>
          </cell>
        </row>
        <row r="59">
          <cell r="A59" t="str">
            <v>Bruno</v>
          </cell>
          <cell r="D59" t="str">
            <v>Commercial</v>
          </cell>
          <cell r="H59">
            <v>3172000</v>
          </cell>
          <cell r="I59">
            <v>0.5</v>
          </cell>
          <cell r="L59" t="str">
            <v>En cours</v>
          </cell>
          <cell r="O59" t="str">
            <v>MEDIUM</v>
          </cell>
          <cell r="P59" t="str">
            <v>⚠ SANS ACTION PLANIFIÉE ⚠ DATE ACTION MANQUANTE</v>
          </cell>
          <cell r="R59" t="str">
            <v>Dépassé</v>
          </cell>
          <cell r="V59" t="str">
            <v>⚠ SANS ACTION PLANIFIÉE ⚠ DATE ACTION MANQUANTE</v>
          </cell>
        </row>
        <row r="60">
          <cell r="A60" t="str">
            <v>Bruno</v>
          </cell>
          <cell r="D60" t="str">
            <v>Hospitality</v>
          </cell>
          <cell r="H60">
            <v>3100000</v>
          </cell>
          <cell r="I60">
            <v>0.1</v>
          </cell>
          <cell r="L60" t="str">
            <v>Prospection</v>
          </cell>
          <cell r="O60" t="str">
            <v>LOW</v>
          </cell>
          <cell r="P60" t="str">
            <v>⚠ SANS ACTION PLANIFIÉE ⚠ DATE ACTION MANQUANTE</v>
          </cell>
          <cell r="R60" t="str">
            <v>Dépassé</v>
          </cell>
          <cell r="V60" t="str">
            <v>⚠ SANS ACTION PLANIFIÉE ⚠ DATE ACTION MANQUANTE</v>
          </cell>
        </row>
        <row r="61">
          <cell r="A61" t="str">
            <v>Oussama</v>
          </cell>
          <cell r="D61" t="str">
            <v>Residential</v>
          </cell>
          <cell r="H61">
            <v>3100000</v>
          </cell>
          <cell r="I61">
            <v>1</v>
          </cell>
          <cell r="L61" t="str">
            <v>Gagné</v>
          </cell>
          <cell r="O61" t="str">
            <v>HIGH</v>
          </cell>
          <cell r="P61" t="str">
            <v/>
          </cell>
          <cell r="R61" t="str">
            <v>Dépassé</v>
          </cell>
          <cell r="V61" t="str">
            <v/>
          </cell>
        </row>
        <row r="62">
          <cell r="A62" t="str">
            <v>Amine</v>
          </cell>
          <cell r="D62" t="str">
            <v>Residential</v>
          </cell>
          <cell r="H62">
            <v>600000</v>
          </cell>
          <cell r="I62">
            <v>1</v>
          </cell>
          <cell r="L62" t="str">
            <v>Gagné</v>
          </cell>
          <cell r="O62" t="str">
            <v>HIGH</v>
          </cell>
          <cell r="P62" t="str">
            <v/>
          </cell>
          <cell r="R62" t="str">
            <v>Dépassé</v>
          </cell>
          <cell r="V62" t="str">
            <v/>
          </cell>
        </row>
        <row r="63">
          <cell r="A63" t="str">
            <v>Amine</v>
          </cell>
          <cell r="D63" t="str">
            <v>Institutional</v>
          </cell>
          <cell r="H63">
            <v>35000000</v>
          </cell>
          <cell r="I63">
            <v>0.5</v>
          </cell>
          <cell r="L63" t="str">
            <v>En cours</v>
          </cell>
          <cell r="O63" t="str">
            <v>MEDIUM</v>
          </cell>
          <cell r="P63" t="str">
            <v>⚠ SANS ACTION PLANIFIÉE ⚠ DATE ACTION MANQUANTE</v>
          </cell>
          <cell r="R63" t="str">
            <v>Dépassé</v>
          </cell>
          <cell r="V63" t="str">
            <v>⚠ SANS ACTION PLANIFIÉE ⚠ DATE ACTION MANQUANTE</v>
          </cell>
        </row>
        <row r="64">
          <cell r="A64" t="str">
            <v>Amine</v>
          </cell>
          <cell r="D64" t="str">
            <v>Residential</v>
          </cell>
          <cell r="H64">
            <v>4000000</v>
          </cell>
          <cell r="I64">
            <v>0.1</v>
          </cell>
          <cell r="L64" t="str">
            <v>Prospection</v>
          </cell>
          <cell r="O64" t="str">
            <v>LOW</v>
          </cell>
          <cell r="P64" t="str">
            <v>⚠ SANS ACTION PLANIFIÉE ⚠ DATE ACTION MANQUANTE</v>
          </cell>
          <cell r="R64" t="str">
            <v>Dépassé</v>
          </cell>
          <cell r="V64" t="str">
            <v>⚠ SANS ACTION PLANIFIÉE ⚠ DATE ACTION MANQUANTE</v>
          </cell>
        </row>
        <row r="65">
          <cell r="A65" t="str">
            <v>Amine</v>
          </cell>
          <cell r="D65" t="str">
            <v>Residential</v>
          </cell>
          <cell r="H65">
            <v>2000000</v>
          </cell>
          <cell r="I65">
            <v>0.1</v>
          </cell>
          <cell r="L65" t="str">
            <v>Prospection</v>
          </cell>
          <cell r="O65" t="str">
            <v>LOW</v>
          </cell>
          <cell r="P65" t="str">
            <v>⚠ SANS ACTION PLANIFIÉE ⚠ DATE ACTION MANQUANTE</v>
          </cell>
          <cell r="R65" t="str">
            <v>Dépassé</v>
          </cell>
          <cell r="V65" t="str">
            <v>⚠ SANS ACTION PLANIFIÉE ⚠ DATE ACTION MANQUANTE</v>
          </cell>
        </row>
        <row r="66">
          <cell r="A66" t="str">
            <v>Amine</v>
          </cell>
          <cell r="D66" t="str">
            <v>Institutional</v>
          </cell>
          <cell r="H66">
            <v>35000000</v>
          </cell>
          <cell r="I66">
            <v>0.1</v>
          </cell>
          <cell r="L66" t="str">
            <v>En cours</v>
          </cell>
          <cell r="O66" t="str">
            <v>LOW</v>
          </cell>
          <cell r="P66" t="str">
            <v>⚠ SANS ACTION PLANIFIÉE ⚠ DATE ACTION MANQUANTE</v>
          </cell>
          <cell r="R66" t="str">
            <v>Dépassé</v>
          </cell>
          <cell r="V66" t="str">
            <v>⚠ SANS ACTION PLANIFIÉE ⚠ DATE ACTION MANQUANTE</v>
          </cell>
        </row>
        <row r="67">
          <cell r="A67" t="str">
            <v>Amine</v>
          </cell>
          <cell r="D67" t="str">
            <v>Residential</v>
          </cell>
          <cell r="H67">
            <v>8000000</v>
          </cell>
          <cell r="I67">
            <v>0.1</v>
          </cell>
          <cell r="L67" t="str">
            <v>Prospection</v>
          </cell>
          <cell r="O67" t="str">
            <v>LOW</v>
          </cell>
          <cell r="P67" t="str">
            <v>⚠ SANS ACTION PLANIFIÉE ⚠ DATE ACTION MANQUANTE</v>
          </cell>
          <cell r="R67" t="str">
            <v>Dépassé</v>
          </cell>
          <cell r="V67" t="str">
            <v>⚠ SANS ACTION PLANIFIÉE ⚠ DATE ACTION MANQUANTE</v>
          </cell>
        </row>
        <row r="68">
          <cell r="A68" t="str">
            <v>Amine</v>
          </cell>
          <cell r="D68" t="str">
            <v>Hospitality</v>
          </cell>
          <cell r="H68">
            <v>6000000</v>
          </cell>
          <cell r="I68">
            <v>0.1</v>
          </cell>
          <cell r="L68" t="str">
            <v>Prospection</v>
          </cell>
          <cell r="O68" t="str">
            <v>LOW</v>
          </cell>
          <cell r="P68" t="str">
            <v>⚠ SANS ACTION PLANIFIÉE ⚠ DATE ACTION MANQUANTE</v>
          </cell>
          <cell r="R68" t="str">
            <v>Dépassé</v>
          </cell>
          <cell r="V68" t="str">
            <v>⚠ SANS ACTION PLANIFIÉE ⚠ DATE ACTION MANQUANTE</v>
          </cell>
        </row>
        <row r="69">
          <cell r="A69" t="str">
            <v>Amine</v>
          </cell>
          <cell r="D69" t="str">
            <v>Hospitality</v>
          </cell>
          <cell r="H69">
            <v>5000000</v>
          </cell>
          <cell r="I69">
            <v>0.1</v>
          </cell>
          <cell r="L69" t="str">
            <v>Prospection</v>
          </cell>
          <cell r="O69" t="str">
            <v>LOW</v>
          </cell>
          <cell r="P69" t="str">
            <v>⚠ SANS ACTION PLANIFIÉE ⚠ DATE ACTION MANQUANTE</v>
          </cell>
          <cell r="R69" t="str">
            <v>Dépassé</v>
          </cell>
          <cell r="V69" t="str">
            <v>⚠ SANS ACTION PLANIFIÉE ⚠ DATE ACTION MANQUANTE</v>
          </cell>
        </row>
        <row r="70">
          <cell r="A70" t="str">
            <v>Bruno</v>
          </cell>
          <cell r="D70" t="str">
            <v>Commercial</v>
          </cell>
          <cell r="H70">
            <v>290000</v>
          </cell>
          <cell r="I70">
            <v>1</v>
          </cell>
          <cell r="L70" t="str">
            <v>Gagné</v>
          </cell>
          <cell r="O70" t="str">
            <v>HIGH</v>
          </cell>
          <cell r="P70" t="str">
            <v/>
          </cell>
          <cell r="R70" t="str">
            <v>Dépassé</v>
          </cell>
          <cell r="V70" t="str">
            <v/>
          </cell>
        </row>
        <row r="71">
          <cell r="A71" t="str">
            <v>Hassan</v>
          </cell>
          <cell r="D71" t="str">
            <v>Residential</v>
          </cell>
          <cell r="H71">
            <v>3000000</v>
          </cell>
          <cell r="I71">
            <v>0.1</v>
          </cell>
          <cell r="L71" t="str">
            <v>Prospection</v>
          </cell>
          <cell r="O71" t="str">
            <v>LOW</v>
          </cell>
          <cell r="P71" t="str">
            <v>⚠ SANS ACTION PLANIFIÉE ⚠ DATE ACTION MANQUANTE</v>
          </cell>
          <cell r="R71" t="str">
            <v>Dépassé</v>
          </cell>
          <cell r="V71" t="str">
            <v>⚠ SANS ACTION PLANIFIÉE ⚠ DATE ACTION MANQUANTE</v>
          </cell>
        </row>
        <row r="72">
          <cell r="A72" t="str">
            <v>Hassan</v>
          </cell>
          <cell r="D72" t="str">
            <v>Hospitality</v>
          </cell>
          <cell r="H72">
            <v>3000000</v>
          </cell>
          <cell r="I72">
            <v>0.1</v>
          </cell>
          <cell r="L72" t="str">
            <v>Prospection</v>
          </cell>
          <cell r="O72" t="str">
            <v>LOW</v>
          </cell>
          <cell r="P72" t="str">
            <v>⚠ SANS ACTION PLANIFIÉE ⚠ DATE ACTION MANQUANTE</v>
          </cell>
          <cell r="R72" t="str">
            <v>Dépassé</v>
          </cell>
          <cell r="V72" t="str">
            <v>⚠ SANS ACTION PLANIFIÉE ⚠ DATE ACTION MANQUANTE</v>
          </cell>
        </row>
        <row r="73">
          <cell r="A73" t="str">
            <v>Taoufik</v>
          </cell>
          <cell r="D73" t="str">
            <v>Residential</v>
          </cell>
          <cell r="H73">
            <v>3000000</v>
          </cell>
          <cell r="I73">
            <v>0.5</v>
          </cell>
          <cell r="L73" t="str">
            <v>En cours</v>
          </cell>
          <cell r="O73" t="str">
            <v>MEDIUM</v>
          </cell>
          <cell r="P73" t="str">
            <v>⚠ SANS ACTION PLANIFIÉE ⚠ DATE ACTION MANQUANTE</v>
          </cell>
          <cell r="R73" t="str">
            <v>Dépassé</v>
          </cell>
          <cell r="V73" t="str">
            <v>⚠ SANS ACTION PLANIFIÉE ⚠ DATE ACTION MANQUANTE</v>
          </cell>
        </row>
        <row r="74">
          <cell r="A74" t="str">
            <v>Amine</v>
          </cell>
          <cell r="D74" t="str">
            <v>Residential</v>
          </cell>
          <cell r="H74">
            <v>5000000</v>
          </cell>
          <cell r="I74">
            <v>0.1</v>
          </cell>
          <cell r="L74" t="str">
            <v>Prospection</v>
          </cell>
          <cell r="O74" t="str">
            <v>LOW</v>
          </cell>
          <cell r="P74" t="str">
            <v>⚠ SANS ACTION PLANIFIÉE ⚠ DATE ACTION MANQUANTE</v>
          </cell>
          <cell r="R74" t="str">
            <v>Dépassé</v>
          </cell>
          <cell r="V74" t="str">
            <v>⚠ SANS ACTION PLANIFIÉE ⚠ DATE ACTION MANQUANTE</v>
          </cell>
        </row>
        <row r="75">
          <cell r="A75" t="str">
            <v>Amine</v>
          </cell>
          <cell r="D75" t="str">
            <v>Hospitality</v>
          </cell>
          <cell r="H75">
            <v>4000000</v>
          </cell>
          <cell r="I75">
            <v>0.1</v>
          </cell>
          <cell r="L75" t="str">
            <v>Prospection</v>
          </cell>
          <cell r="O75" t="str">
            <v>LOW</v>
          </cell>
          <cell r="P75" t="str">
            <v>⚠ SANS ACTION PLANIFIÉE ⚠ DATE ACTION MANQUANTE</v>
          </cell>
          <cell r="R75" t="str">
            <v>Dépassé</v>
          </cell>
          <cell r="V75" t="str">
            <v>⚠ SANS ACTION PLANIFIÉE ⚠ DATE ACTION MANQUANTE</v>
          </cell>
        </row>
        <row r="76">
          <cell r="A76" t="str">
            <v>Bruno</v>
          </cell>
          <cell r="D76" t="str">
            <v>Residential</v>
          </cell>
          <cell r="H76">
            <v>2500000</v>
          </cell>
          <cell r="I76">
            <v>0.5</v>
          </cell>
          <cell r="L76" t="str">
            <v>En cours</v>
          </cell>
          <cell r="O76" t="str">
            <v>MEDIUM</v>
          </cell>
          <cell r="P76" t="str">
            <v>⚠ SANS ACTION PLANIFIÉE ⚠ DATE ACTION MANQUANTE</v>
          </cell>
          <cell r="R76" t="str">
            <v>Dépassé</v>
          </cell>
          <cell r="V76" t="str">
            <v>⚠ SANS ACTION PLANIFIÉE ⚠ DATE ACTION MANQUANTE</v>
          </cell>
        </row>
        <row r="77">
          <cell r="A77" t="str">
            <v>Taoufik</v>
          </cell>
          <cell r="D77" t="str">
            <v>Residential</v>
          </cell>
          <cell r="H77">
            <v>2500000</v>
          </cell>
          <cell r="I77">
            <v>0.1</v>
          </cell>
          <cell r="L77" t="str">
            <v>Prospection</v>
          </cell>
          <cell r="O77" t="str">
            <v>LOW</v>
          </cell>
          <cell r="P77" t="str">
            <v>⚠ SANS ACTION PLANIFIÉE ⚠ DATE ACTION MANQUANTE</v>
          </cell>
          <cell r="R77" t="str">
            <v>Dépassé</v>
          </cell>
          <cell r="V77" t="str">
            <v>⚠ SANS ACTION PLANIFIÉE ⚠ DATE ACTION MANQUANTE</v>
          </cell>
        </row>
        <row r="78">
          <cell r="A78" t="str">
            <v>Bruno</v>
          </cell>
          <cell r="D78" t="str">
            <v>Residential</v>
          </cell>
          <cell r="H78">
            <v>2409440</v>
          </cell>
          <cell r="I78">
            <v>0</v>
          </cell>
          <cell r="L78" t="str">
            <v>Perdu</v>
          </cell>
          <cell r="O78" t="str">
            <v>—</v>
          </cell>
          <cell r="P78" t="str">
            <v/>
          </cell>
          <cell r="R78" t="str">
            <v>Dépassé</v>
          </cell>
          <cell r="V78" t="str">
            <v/>
          </cell>
        </row>
        <row r="79">
          <cell r="A79" t="str">
            <v>Taoufik</v>
          </cell>
          <cell r="D79" t="str">
            <v>Residential</v>
          </cell>
          <cell r="H79">
            <v>2400000</v>
          </cell>
          <cell r="I79">
            <v>0.5</v>
          </cell>
          <cell r="L79" t="str">
            <v>Prospection</v>
          </cell>
          <cell r="O79" t="str">
            <v>MEDIUM</v>
          </cell>
          <cell r="P79" t="str">
            <v>⚠ SANS ACTION PLANIFIÉE ⚠ DATE ACTION MANQUANTE</v>
          </cell>
          <cell r="R79" t="str">
            <v>Dépassé</v>
          </cell>
          <cell r="V79" t="str">
            <v>⚠ SANS ACTION PLANIFIÉE ⚠ DATE ACTION MANQUANTE</v>
          </cell>
        </row>
        <row r="80">
          <cell r="A80" t="str">
            <v>Taoufik</v>
          </cell>
          <cell r="D80" t="str">
            <v>Residential</v>
          </cell>
          <cell r="H80">
            <v>2200000</v>
          </cell>
          <cell r="I80">
            <v>1</v>
          </cell>
          <cell r="L80" t="str">
            <v>Gagné</v>
          </cell>
          <cell r="O80" t="str">
            <v>HIGH</v>
          </cell>
          <cell r="P80" t="str">
            <v/>
          </cell>
          <cell r="R80" t="str">
            <v>Dépassé</v>
          </cell>
          <cell r="V80" t="str">
            <v/>
          </cell>
        </row>
        <row r="81">
          <cell r="A81" t="str">
            <v>Bruno</v>
          </cell>
          <cell r="D81" t="str">
            <v>Residential</v>
          </cell>
          <cell r="H81">
            <v>2170000</v>
          </cell>
          <cell r="I81">
            <v>0.5</v>
          </cell>
          <cell r="L81" t="str">
            <v>Prospection</v>
          </cell>
          <cell r="O81" t="str">
            <v>MEDIUM</v>
          </cell>
          <cell r="P81" t="str">
            <v>⚠ SANS ACTION PLANIFIÉE ⚠ DATE ACTION MANQUANTE</v>
          </cell>
          <cell r="R81" t="str">
            <v>Dépassé</v>
          </cell>
          <cell r="V81" t="str">
            <v>⚠ SANS ACTION PLANIFIÉE ⚠ DATE ACTION MANQUANTE</v>
          </cell>
        </row>
        <row r="82">
          <cell r="A82" t="str">
            <v>Amine</v>
          </cell>
          <cell r="D82" t="str">
            <v>Hospitality</v>
          </cell>
          <cell r="H82">
            <v>3000000</v>
          </cell>
          <cell r="I82">
            <v>0.1</v>
          </cell>
          <cell r="L82" t="str">
            <v>Prospection</v>
          </cell>
          <cell r="O82" t="str">
            <v>LOW</v>
          </cell>
          <cell r="P82" t="str">
            <v>⚠ SANS ACTION PLANIFIÉE ⚠ DATE ACTION MANQUANTE</v>
          </cell>
          <cell r="R82" t="str">
            <v>Dépassé</v>
          </cell>
          <cell r="V82" t="str">
            <v>⚠ SANS ACTION PLANIFIÉE ⚠ DATE ACTION MANQUANTE</v>
          </cell>
        </row>
        <row r="83">
          <cell r="A83" t="str">
            <v>Amine</v>
          </cell>
          <cell r="D83" t="str">
            <v>Residential</v>
          </cell>
          <cell r="H83">
            <v>3000000</v>
          </cell>
          <cell r="I83">
            <v>0.1</v>
          </cell>
          <cell r="L83" t="str">
            <v>Prospection</v>
          </cell>
          <cell r="O83" t="str">
            <v>LOW</v>
          </cell>
          <cell r="P83" t="str">
            <v>⚠ SANS ACTION PLANIFIÉE ⚠ DATE ACTION MANQUANTE</v>
          </cell>
          <cell r="R83" t="str">
            <v>Dépassé</v>
          </cell>
          <cell r="V83" t="str">
            <v>⚠ SANS ACTION PLANIFIÉE ⚠ DATE ACTION MANQUANTE</v>
          </cell>
        </row>
        <row r="84">
          <cell r="A84" t="str">
            <v>Amine</v>
          </cell>
          <cell r="D84" t="str">
            <v>Residential</v>
          </cell>
          <cell r="H84">
            <v>3000000</v>
          </cell>
          <cell r="I84">
            <v>0.1</v>
          </cell>
          <cell r="L84" t="str">
            <v>Prospection</v>
          </cell>
          <cell r="O84" t="str">
            <v>LOW</v>
          </cell>
          <cell r="P84" t="str">
            <v>⚠ SANS ACTION PLANIFIÉE ⚠ DATE ACTION MANQUANTE</v>
          </cell>
          <cell r="R84" t="str">
            <v>Dépassé</v>
          </cell>
          <cell r="V84" t="str">
            <v>⚠ SANS ACTION PLANIFIÉE ⚠ DATE ACTION MANQUANTE</v>
          </cell>
        </row>
        <row r="85">
          <cell r="A85" t="str">
            <v>Amine</v>
          </cell>
          <cell r="D85" t="str">
            <v>Residential</v>
          </cell>
          <cell r="H85">
            <v>2000000</v>
          </cell>
          <cell r="I85">
            <v>0.1</v>
          </cell>
          <cell r="L85" t="str">
            <v>Prospection</v>
          </cell>
          <cell r="O85" t="str">
            <v>LOW</v>
          </cell>
          <cell r="P85" t="str">
            <v>⚠ SANS ACTION PLANIFIÉE ⚠ DATE ACTION MANQUANTE</v>
          </cell>
          <cell r="R85" t="str">
            <v>Dépassé</v>
          </cell>
          <cell r="V85" t="str">
            <v>⚠ SANS ACTION PLANIFIÉE ⚠ DATE ACTION MANQUANTE</v>
          </cell>
        </row>
        <row r="86">
          <cell r="A86" t="str">
            <v>Amine</v>
          </cell>
          <cell r="D86" t="str">
            <v>Residential</v>
          </cell>
          <cell r="H86">
            <v>1500000</v>
          </cell>
          <cell r="I86">
            <v>0.1</v>
          </cell>
          <cell r="L86" t="str">
            <v>Prospection</v>
          </cell>
          <cell r="O86" t="str">
            <v>LOW</v>
          </cell>
          <cell r="P86" t="str">
            <v>⚠ SANS ACTION PLANIFIÉE ⚠ DATE ACTION MANQUANTE</v>
          </cell>
          <cell r="R86" t="str">
            <v>Dépassé</v>
          </cell>
          <cell r="V86" t="str">
            <v>⚠ SANS ACTION PLANIFIÉE ⚠ DATE ACTION MANQUANTE</v>
          </cell>
        </row>
        <row r="87">
          <cell r="A87" t="str">
            <v>Amine</v>
          </cell>
          <cell r="D87" t="str">
            <v>Institutional</v>
          </cell>
          <cell r="H87">
            <v>900000</v>
          </cell>
          <cell r="I87">
            <v>0.1</v>
          </cell>
          <cell r="L87" t="str">
            <v>Prospection</v>
          </cell>
          <cell r="O87" t="str">
            <v>LOW</v>
          </cell>
          <cell r="P87" t="str">
            <v>⚠ SANS ACTION PLANIFIÉE ⚠ DATE ACTION MANQUANTE</v>
          </cell>
          <cell r="R87" t="str">
            <v>Dépassé</v>
          </cell>
          <cell r="V87" t="str">
            <v>⚠ SANS ACTION PLANIFIÉE ⚠ DATE ACTION MANQUANTE</v>
          </cell>
        </row>
        <row r="88">
          <cell r="A88" t="str">
            <v>Bruno</v>
          </cell>
          <cell r="D88" t="str">
            <v>Commercial</v>
          </cell>
          <cell r="H88">
            <v>2000000</v>
          </cell>
          <cell r="I88">
            <v>0.1</v>
          </cell>
          <cell r="L88" t="str">
            <v>Prospection</v>
          </cell>
          <cell r="O88" t="str">
            <v>LOW</v>
          </cell>
          <cell r="P88" t="str">
            <v>⚠ SANS ACTION PLANIFIÉE ⚠ DATE ACTION MANQUANTE</v>
          </cell>
          <cell r="R88" t="str">
            <v>Dépassé</v>
          </cell>
          <cell r="V88" t="str">
            <v>⚠ SANS ACTION PLANIFIÉE ⚠ DATE ACTION MANQUANTE</v>
          </cell>
        </row>
        <row r="89">
          <cell r="A89" t="str">
            <v>Hassan</v>
          </cell>
          <cell r="D89" t="str">
            <v>Residential</v>
          </cell>
          <cell r="H89">
            <v>2000000</v>
          </cell>
          <cell r="I89">
            <v>0.1</v>
          </cell>
          <cell r="L89" t="str">
            <v>Prospection</v>
          </cell>
          <cell r="O89" t="str">
            <v>LOW</v>
          </cell>
          <cell r="P89" t="str">
            <v>⚠ SANS ACTION PLANIFIÉE ⚠ DATE ACTION MANQUANTE</v>
          </cell>
          <cell r="R89" t="str">
            <v>Dépassé</v>
          </cell>
          <cell r="V89" t="str">
            <v>⚠ SANS ACTION PLANIFIÉE ⚠ DATE ACTION MANQUANTE</v>
          </cell>
        </row>
        <row r="90">
          <cell r="A90" t="str">
            <v>Hassan</v>
          </cell>
          <cell r="D90" t="str">
            <v>Residential</v>
          </cell>
          <cell r="H90">
            <v>2000000</v>
          </cell>
          <cell r="I90">
            <v>0.1</v>
          </cell>
          <cell r="L90" t="str">
            <v>Prospection</v>
          </cell>
          <cell r="O90" t="str">
            <v>LOW</v>
          </cell>
          <cell r="P90" t="str">
            <v>⚠ SANS ACTION PLANIFIÉE ⚠ DATE ACTION MANQUANTE</v>
          </cell>
          <cell r="R90" t="str">
            <v>Dépassé</v>
          </cell>
          <cell r="V90" t="str">
            <v>⚠ SANS ACTION PLANIFIÉE ⚠ DATE ACTION MANQUANTE</v>
          </cell>
        </row>
        <row r="91">
          <cell r="A91" t="str">
            <v>Hassan</v>
          </cell>
          <cell r="D91" t="str">
            <v>Institutional</v>
          </cell>
          <cell r="H91">
            <v>2000000</v>
          </cell>
          <cell r="I91">
            <v>0.1</v>
          </cell>
          <cell r="L91" t="str">
            <v>Prospection</v>
          </cell>
          <cell r="O91" t="str">
            <v>LOW</v>
          </cell>
          <cell r="P91" t="str">
            <v>⚠ SANS ACTION PLANIFIÉE ⚠ DATE ACTION MANQUANTE</v>
          </cell>
          <cell r="R91" t="str">
            <v>Dépassé</v>
          </cell>
          <cell r="V91" t="str">
            <v>⚠ SANS ACTION PLANIFIÉE ⚠ DATE ACTION MANQUANTE</v>
          </cell>
        </row>
        <row r="92">
          <cell r="A92" t="str">
            <v>Oussama</v>
          </cell>
          <cell r="D92" t="str">
            <v>Residential</v>
          </cell>
          <cell r="H92">
            <v>2000000</v>
          </cell>
          <cell r="I92">
            <v>0.8</v>
          </cell>
          <cell r="L92" t="str">
            <v>Négociation</v>
          </cell>
          <cell r="O92" t="str">
            <v>HIGH</v>
          </cell>
          <cell r="P92" t="str">
            <v>⚠ SANS ACTION PLANIFIÉE ⚠ DATE ACTION MANQUANTE ⚠ 80%+ SANS ACTION</v>
          </cell>
          <cell r="R92" t="str">
            <v>Dépassé</v>
          </cell>
          <cell r="V92" t="str">
            <v>⚠ SANS ACTION PLANIFIÉE ⚠ DATE ACTION MANQUANTE ⚠ 80%+ SANS ACTION</v>
          </cell>
        </row>
        <row r="93">
          <cell r="A93" t="str">
            <v>Bruno</v>
          </cell>
          <cell r="D93" t="str">
            <v>Residential</v>
          </cell>
          <cell r="H93">
            <v>1967000</v>
          </cell>
          <cell r="I93">
            <v>0.8</v>
          </cell>
          <cell r="L93" t="str">
            <v>En cours</v>
          </cell>
          <cell r="O93" t="str">
            <v>HIGH</v>
          </cell>
          <cell r="P93" t="str">
            <v>⚠ SANS ACTION PLANIFIÉE ⚠ DATE ACTION MANQUANTE ⚠ 80%+ SANS ACTION</v>
          </cell>
          <cell r="R93" t="str">
            <v>Dépassé</v>
          </cell>
          <cell r="V93" t="str">
            <v>⚠ SANS ACTION PLANIFIÉE ⚠ DATE ACTION MANQUANTE ⚠ 80%+ SANS ACTION</v>
          </cell>
        </row>
        <row r="94">
          <cell r="A94" t="str">
            <v>Taoufik</v>
          </cell>
          <cell r="D94" t="str">
            <v>Residential</v>
          </cell>
          <cell r="H94">
            <v>1900000</v>
          </cell>
          <cell r="I94">
            <v>0.8</v>
          </cell>
          <cell r="L94" t="str">
            <v>Prospection</v>
          </cell>
          <cell r="O94" t="str">
            <v>HIGH</v>
          </cell>
          <cell r="P94" t="str">
            <v>⚠ STATUT/PROB INCOHÉRENT ⚠ SANS ACTION PLANIFIÉE ⚠ DATE ACTION MANQUANTE ⚠ 80%+ SANS ACTION</v>
          </cell>
          <cell r="R94" t="str">
            <v>Dépassé</v>
          </cell>
          <cell r="V94" t="str">
            <v>⚠ STATUT/PROB INCOHÉRENT ⚠ SANS ACTION PLANIFIÉE ⚠ DATE ACTION MANQUANTE ⚠ 80%+ SANS ACTION</v>
          </cell>
        </row>
        <row r="95">
          <cell r="A95" t="str">
            <v>Amine</v>
          </cell>
          <cell r="D95" t="str">
            <v>Residential</v>
          </cell>
          <cell r="H95">
            <v>2000000</v>
          </cell>
          <cell r="I95">
            <v>0.1</v>
          </cell>
          <cell r="L95" t="str">
            <v>En cours</v>
          </cell>
          <cell r="O95" t="str">
            <v>LOW</v>
          </cell>
          <cell r="P95" t="str">
            <v>⚠ SANS ACTION PLANIFIÉE ⚠ DATE ACTION MANQUANTE</v>
          </cell>
          <cell r="R95" t="str">
            <v>Dépassé</v>
          </cell>
          <cell r="V95" t="str">
            <v>⚠ SANS ACTION PLANIFIÉE ⚠ DATE ACTION MANQUANTE</v>
          </cell>
        </row>
        <row r="96">
          <cell r="A96" t="str">
            <v>Bruno</v>
          </cell>
          <cell r="D96" t="str">
            <v>Industrial &amp; Logistics</v>
          </cell>
          <cell r="H96">
            <v>1540700</v>
          </cell>
          <cell r="I96">
            <v>0.5</v>
          </cell>
          <cell r="L96" t="str">
            <v>En cours</v>
          </cell>
          <cell r="O96" t="str">
            <v>MEDIUM</v>
          </cell>
          <cell r="P96" t="str">
            <v>⚠ SANS ACTION PLANIFIÉE ⚠ DATE ACTION MANQUANTE</v>
          </cell>
          <cell r="R96" t="str">
            <v>Dépassé</v>
          </cell>
          <cell r="V96" t="str">
            <v>⚠ SANS ACTION PLANIFIÉE ⚠ DATE ACTION MANQUANTE</v>
          </cell>
        </row>
        <row r="97">
          <cell r="A97" t="str">
            <v>Amine</v>
          </cell>
          <cell r="D97" t="str">
            <v>Residential</v>
          </cell>
          <cell r="H97">
            <v>1000000</v>
          </cell>
          <cell r="I97">
            <v>0.1</v>
          </cell>
          <cell r="L97" t="str">
            <v>En cours</v>
          </cell>
          <cell r="O97" t="str">
            <v>LOW</v>
          </cell>
          <cell r="P97" t="str">
            <v>⚠ SANS ACTION PLANIFIÉE ⚠ DATE ACTION MANQUANTE</v>
          </cell>
          <cell r="R97" t="str">
            <v>Dépassé</v>
          </cell>
          <cell r="V97" t="str">
            <v>⚠ SANS ACTION PLANIFIÉE ⚠ DATE ACTION MANQUANTE</v>
          </cell>
        </row>
        <row r="98">
          <cell r="A98" t="str">
            <v>Amine</v>
          </cell>
          <cell r="D98" t="str">
            <v>Residential</v>
          </cell>
          <cell r="H98">
            <v>500000</v>
          </cell>
          <cell r="I98">
            <v>0.1</v>
          </cell>
          <cell r="L98" t="str">
            <v>En cours</v>
          </cell>
          <cell r="O98" t="str">
            <v>LOW</v>
          </cell>
          <cell r="P98" t="str">
            <v>⚠ SANS ACTION PLANIFIÉE ⚠ DATE ACTION MANQUANTE</v>
          </cell>
          <cell r="R98" t="str">
            <v>Dépassé</v>
          </cell>
          <cell r="V98" t="str">
            <v>⚠ SANS ACTION PLANIFIÉE ⚠ DATE ACTION MANQUANTE</v>
          </cell>
        </row>
        <row r="99">
          <cell r="A99" t="str">
            <v>Amine</v>
          </cell>
          <cell r="D99" t="str">
            <v>Institutional</v>
          </cell>
          <cell r="H99">
            <v>3000000</v>
          </cell>
          <cell r="I99">
            <v>0.1</v>
          </cell>
          <cell r="L99" t="str">
            <v>En cours</v>
          </cell>
          <cell r="O99" t="str">
            <v>LOW</v>
          </cell>
          <cell r="P99" t="str">
            <v>⚠ SANS ACTION PLANIFIÉE ⚠ DATE ACTION MANQUANTE</v>
          </cell>
          <cell r="R99" t="str">
            <v>Dépassé</v>
          </cell>
          <cell r="V99" t="str">
            <v>⚠ SANS ACTION PLANIFIÉE ⚠ DATE ACTION MANQUANTE</v>
          </cell>
        </row>
        <row r="100">
          <cell r="A100" t="str">
            <v>Bruno</v>
          </cell>
          <cell r="D100" t="str">
            <v>Commercial</v>
          </cell>
          <cell r="H100">
            <v>1476065</v>
          </cell>
          <cell r="I100">
            <v>0.5</v>
          </cell>
          <cell r="L100" t="str">
            <v>En cours</v>
          </cell>
          <cell r="O100" t="str">
            <v>MEDIUM</v>
          </cell>
          <cell r="P100" t="str">
            <v>⚠ SANS ACTION PLANIFIÉE ⚠ DATE ACTION MANQUANTE</v>
          </cell>
          <cell r="R100" t="str">
            <v>Dépassé</v>
          </cell>
          <cell r="V100" t="str">
            <v>⚠ SANS ACTION PLANIFIÉE ⚠ DATE ACTION MANQUANTE</v>
          </cell>
        </row>
        <row r="101">
          <cell r="A101" t="str">
            <v>Bruno</v>
          </cell>
          <cell r="D101" t="str">
            <v>Industrial &amp; Logistics</v>
          </cell>
          <cell r="H101">
            <v>1463814.08</v>
          </cell>
          <cell r="I101">
            <v>0.5</v>
          </cell>
          <cell r="L101" t="str">
            <v>En cours</v>
          </cell>
          <cell r="O101" t="str">
            <v>MEDIUM</v>
          </cell>
          <cell r="P101" t="str">
            <v>⚠ SANS ACTION PLANIFIÉE ⚠ DATE ACTION MANQUANTE</v>
          </cell>
          <cell r="R101" t="str">
            <v>Dépassé</v>
          </cell>
          <cell r="V101" t="str">
            <v>⚠ SANS ACTION PLANIFIÉE ⚠ DATE ACTION MANQUANTE</v>
          </cell>
        </row>
        <row r="102">
          <cell r="A102" t="str">
            <v>Oussama</v>
          </cell>
          <cell r="D102" t="str">
            <v>Hospitality</v>
          </cell>
          <cell r="H102">
            <v>1320000</v>
          </cell>
          <cell r="I102">
            <v>0.5</v>
          </cell>
          <cell r="L102" t="str">
            <v>En cours</v>
          </cell>
          <cell r="O102" t="str">
            <v>MEDIUM</v>
          </cell>
          <cell r="P102" t="str">
            <v>⚠ SANS ACTION PLANIFIÉE ⚠ DATE ACTION MANQUANTE</v>
          </cell>
          <cell r="R102" t="str">
            <v>Dépassé</v>
          </cell>
          <cell r="V102" t="str">
            <v>⚠ SANS ACTION PLANIFIÉE ⚠ DATE ACTION MANQUANTE</v>
          </cell>
        </row>
        <row r="103">
          <cell r="A103" t="str">
            <v>Taoufik</v>
          </cell>
          <cell r="D103" t="str">
            <v>Residential</v>
          </cell>
          <cell r="H103">
            <v>1300000</v>
          </cell>
          <cell r="I103">
            <v>1</v>
          </cell>
          <cell r="L103" t="str">
            <v>Gagné</v>
          </cell>
          <cell r="O103" t="str">
            <v>HIGH</v>
          </cell>
          <cell r="P103" t="str">
            <v/>
          </cell>
          <cell r="R103" t="str">
            <v>Dépassé</v>
          </cell>
          <cell r="V103" t="str">
            <v/>
          </cell>
        </row>
        <row r="104">
          <cell r="A104" t="str">
            <v>Bruno</v>
          </cell>
          <cell r="D104" t="str">
            <v>Residential</v>
          </cell>
          <cell r="H104">
            <v>6043000</v>
          </cell>
          <cell r="I104">
            <v>0.5</v>
          </cell>
          <cell r="L104" t="str">
            <v>En cours</v>
          </cell>
        </row>
        <row r="105">
          <cell r="A105" t="str">
            <v>Bruno</v>
          </cell>
          <cell r="D105" t="str">
            <v>Residential</v>
          </cell>
          <cell r="H105">
            <v>1118000</v>
          </cell>
          <cell r="I105">
            <v>0.8</v>
          </cell>
          <cell r="L105" t="str">
            <v>En cours</v>
          </cell>
          <cell r="O105" t="str">
            <v>HIGH</v>
          </cell>
          <cell r="P105" t="str">
            <v>⚠ SANS ACTION PLANIFIÉE ⚠ DATE ACTION MANQUANTE ⚠ 80%+ SANS ACTION</v>
          </cell>
          <cell r="R105" t="str">
            <v>Dépassé</v>
          </cell>
          <cell r="V105" t="str">
            <v>⚠ SANS ACTION PLANIFIÉE ⚠ DATE ACTION MANQUANTE ⚠ 80%+ SANS ACTION</v>
          </cell>
        </row>
        <row r="106">
          <cell r="A106" t="str">
            <v>Amine</v>
          </cell>
          <cell r="D106" t="str">
            <v>Residential</v>
          </cell>
          <cell r="H106">
            <v>3000000</v>
          </cell>
          <cell r="I106">
            <v>0.1</v>
          </cell>
          <cell r="L106" t="str">
            <v>En cours</v>
          </cell>
          <cell r="O106" t="str">
            <v>LOW</v>
          </cell>
          <cell r="P106" t="str">
            <v>⚠ SANS ACTION PLANIFIÉE ⚠ DATE ACTION MANQUANTE</v>
          </cell>
          <cell r="R106" t="str">
            <v>Dépassé</v>
          </cell>
          <cell r="V106" t="str">
            <v>⚠ SANS ACTION PLANIFIÉE ⚠ DATE ACTION MANQUANTE</v>
          </cell>
        </row>
        <row r="107">
          <cell r="A107" t="str">
            <v>Amine</v>
          </cell>
          <cell r="D107" t="str">
            <v>Institutional</v>
          </cell>
          <cell r="H107">
            <v>2000000</v>
          </cell>
          <cell r="I107">
            <v>0.1</v>
          </cell>
          <cell r="L107" t="str">
            <v>Prospection</v>
          </cell>
          <cell r="O107" t="str">
            <v>LOW</v>
          </cell>
          <cell r="P107" t="str">
            <v>⚠ SANS ACTION PLANIFIÉE ⚠ DATE ACTION MANQUANTE</v>
          </cell>
          <cell r="R107" t="str">
            <v>Dépassé</v>
          </cell>
          <cell r="V107" t="str">
            <v>⚠ SANS ACTION PLANIFIÉE ⚠ DATE ACTION MANQUANTE</v>
          </cell>
        </row>
        <row r="108">
          <cell r="A108" t="str">
            <v>Bruno</v>
          </cell>
          <cell r="D108" t="str">
            <v>Residential</v>
          </cell>
          <cell r="H108">
            <v>1000000</v>
          </cell>
          <cell r="I108">
            <v>0.5</v>
          </cell>
          <cell r="L108" t="str">
            <v>En cours</v>
          </cell>
          <cell r="O108" t="str">
            <v>MEDIUM</v>
          </cell>
          <cell r="P108" t="str">
            <v>⚠ SANS ACTION PLANIFIÉE ⚠ DATE ACTION MANQUANTE</v>
          </cell>
          <cell r="R108" t="str">
            <v>Dépassé</v>
          </cell>
          <cell r="V108" t="str">
            <v>⚠ SANS ACTION PLANIFIÉE ⚠ DATE ACTION MANQUANTE</v>
          </cell>
        </row>
        <row r="109">
          <cell r="A109" t="str">
            <v>Taoufik</v>
          </cell>
          <cell r="D109" t="str">
            <v>Residential</v>
          </cell>
          <cell r="H109">
            <v>1000000</v>
          </cell>
          <cell r="I109">
            <v>0.1</v>
          </cell>
          <cell r="L109" t="str">
            <v>Prospection</v>
          </cell>
          <cell r="O109" t="str">
            <v>LOW</v>
          </cell>
          <cell r="P109" t="str">
            <v>⚠ SANS ACTION PLANIFIÉE ⚠ DATE ACTION MANQUANTE</v>
          </cell>
          <cell r="R109" t="str">
            <v>Dépassé</v>
          </cell>
          <cell r="V109" t="str">
            <v>⚠ SANS ACTION PLANIFIÉE ⚠ DATE ACTION MANQUANTE</v>
          </cell>
        </row>
        <row r="110">
          <cell r="A110" t="str">
            <v>Amine</v>
          </cell>
          <cell r="D110" t="str">
            <v>Institutional</v>
          </cell>
          <cell r="H110">
            <v>2000000</v>
          </cell>
          <cell r="I110">
            <v>0.1</v>
          </cell>
          <cell r="L110" t="str">
            <v>En cours</v>
          </cell>
          <cell r="O110" t="str">
            <v>LOW</v>
          </cell>
          <cell r="P110" t="str">
            <v>⚠ SANS ACTION PLANIFIÉE ⚠ DATE ACTION MANQUANTE</v>
          </cell>
          <cell r="R110" t="str">
            <v>Dépassé</v>
          </cell>
          <cell r="V110" t="str">
            <v>⚠ SANS ACTION PLANIFIÉE ⚠ DATE ACTION MANQUANTE</v>
          </cell>
        </row>
        <row r="111">
          <cell r="A111" t="str">
            <v>Taoufik</v>
          </cell>
          <cell r="D111" t="str">
            <v>Residential</v>
          </cell>
          <cell r="H111">
            <v>900000</v>
          </cell>
          <cell r="I111">
            <v>0.8</v>
          </cell>
          <cell r="L111" t="str">
            <v>En cours</v>
          </cell>
          <cell r="O111" t="str">
            <v>HIGH</v>
          </cell>
          <cell r="P111" t="str">
            <v>⚠ SANS ACTION PLANIFIÉE ⚠ DATE ACTION MANQUANTE ⚠ 80%+ SANS ACTION</v>
          </cell>
          <cell r="R111" t="str">
            <v>Dépassé</v>
          </cell>
          <cell r="V111" t="str">
            <v>⚠ SANS ACTION PLANIFIÉE ⚠ DATE ACTION MANQUANTE ⚠ 80%+ SANS ACTION</v>
          </cell>
        </row>
        <row r="112">
          <cell r="A112" t="str">
            <v>Taoufik</v>
          </cell>
          <cell r="D112" t="str">
            <v>Residential</v>
          </cell>
          <cell r="H112">
            <v>800000</v>
          </cell>
          <cell r="I112">
            <v>0.8</v>
          </cell>
          <cell r="L112" t="str">
            <v>En cours</v>
          </cell>
          <cell r="O112" t="str">
            <v>HIGH</v>
          </cell>
          <cell r="P112" t="str">
            <v>⚠ SANS ACTION PLANIFIÉE ⚠ DATE ACTION MANQUANTE ⚠ 80%+ SANS ACTION</v>
          </cell>
          <cell r="R112" t="str">
            <v>Dépassé</v>
          </cell>
          <cell r="V112" t="str">
            <v>⚠ SANS ACTION PLANIFIÉE ⚠ DATE ACTION MANQUANTE ⚠ 80%+ SANS ACTION</v>
          </cell>
        </row>
        <row r="113">
          <cell r="A113" t="str">
            <v>Taoufik</v>
          </cell>
          <cell r="D113" t="str">
            <v>Residential</v>
          </cell>
          <cell r="H113">
            <v>800000</v>
          </cell>
          <cell r="I113">
            <v>0.5</v>
          </cell>
          <cell r="L113" t="str">
            <v>En cours</v>
          </cell>
          <cell r="O113" t="str">
            <v>MEDIUM</v>
          </cell>
          <cell r="P113" t="str">
            <v>⚠ SANS ACTION PLANIFIÉE ⚠ DATE ACTION MANQUANTE</v>
          </cell>
          <cell r="R113" t="str">
            <v>Dépassé</v>
          </cell>
          <cell r="V113" t="str">
            <v>⚠ SANS ACTION PLANIFIÉE ⚠ DATE ACTION MANQUANTE</v>
          </cell>
        </row>
        <row r="114">
          <cell r="A114" t="str">
            <v>Bruno</v>
          </cell>
          <cell r="D114" t="str">
            <v>Residential</v>
          </cell>
          <cell r="H114">
            <v>796576</v>
          </cell>
          <cell r="I114">
            <v>0.8</v>
          </cell>
          <cell r="L114" t="str">
            <v>En cours</v>
          </cell>
          <cell r="O114" t="str">
            <v>HIGH</v>
          </cell>
          <cell r="P114" t="str">
            <v>⚠ SANS ACTION PLANIFIÉE ⚠ DATE ACTION MANQUANTE ⚠ 80%+ SANS ACTION</v>
          </cell>
          <cell r="R114" t="str">
            <v>Dépassé</v>
          </cell>
          <cell r="V114" t="str">
            <v>⚠ SANS ACTION PLANIFIÉE ⚠ DATE ACTION MANQUANTE ⚠ 80%+ SANS ACTION</v>
          </cell>
        </row>
        <row r="115">
          <cell r="A115" t="str">
            <v>Taoufik</v>
          </cell>
          <cell r="D115" t="str">
            <v>Residential</v>
          </cell>
          <cell r="H115">
            <v>780000</v>
          </cell>
          <cell r="I115">
            <v>0.5</v>
          </cell>
          <cell r="L115" t="str">
            <v>Prospection</v>
          </cell>
          <cell r="O115" t="str">
            <v>MEDIUM</v>
          </cell>
          <cell r="P115" t="str">
            <v>⚠ SANS ACTION PLANIFIÉE ⚠ DATE ACTION MANQUANTE</v>
          </cell>
          <cell r="R115" t="str">
            <v>Dépassé</v>
          </cell>
          <cell r="V115" t="str">
            <v>⚠ SANS ACTION PLANIFIÉE ⚠ DATE ACTION MANQUANTE</v>
          </cell>
        </row>
        <row r="116">
          <cell r="A116" t="str">
            <v>Oussama</v>
          </cell>
          <cell r="D116" t="str">
            <v>Residential</v>
          </cell>
          <cell r="H116">
            <v>600000</v>
          </cell>
          <cell r="I116">
            <v>0.5</v>
          </cell>
          <cell r="L116" t="str">
            <v>Prospection</v>
          </cell>
          <cell r="O116" t="str">
            <v>MEDIUM</v>
          </cell>
          <cell r="P116" t="str">
            <v>⚠ SANS ACTION PLANIFIÉE ⚠ DATE ACTION MANQUANTE</v>
          </cell>
          <cell r="R116" t="str">
            <v>Dépassé</v>
          </cell>
          <cell r="V116" t="str">
            <v>⚠ SANS ACTION PLANIFIÉE ⚠ DATE ACTION MANQUANTE</v>
          </cell>
        </row>
        <row r="117">
          <cell r="A117" t="str">
            <v>Oussama</v>
          </cell>
          <cell r="D117" t="str">
            <v>Residential</v>
          </cell>
          <cell r="H117">
            <v>600000</v>
          </cell>
          <cell r="I117">
            <v>0.5</v>
          </cell>
          <cell r="L117" t="str">
            <v>Prospection</v>
          </cell>
          <cell r="O117" t="str">
            <v>MEDIUM</v>
          </cell>
          <cell r="P117" t="str">
            <v>⚠ SANS ACTION PLANIFIÉE ⚠ DATE ACTION MANQUANTE</v>
          </cell>
          <cell r="R117" t="str">
            <v>Dépassé</v>
          </cell>
          <cell r="V117" t="str">
            <v>⚠ SANS ACTION PLANIFIÉE ⚠ DATE ACTION MANQUANTE</v>
          </cell>
        </row>
        <row r="118">
          <cell r="A118" t="str">
            <v>Bruno</v>
          </cell>
          <cell r="D118" t="str">
            <v>Residential</v>
          </cell>
          <cell r="H118">
            <v>584122</v>
          </cell>
          <cell r="I118">
            <v>0.8</v>
          </cell>
          <cell r="L118" t="str">
            <v>En cours</v>
          </cell>
          <cell r="O118" t="str">
            <v>HIGH</v>
          </cell>
          <cell r="P118" t="str">
            <v>⚠ SANS ACTION PLANIFIÉE ⚠ DATE ACTION MANQUANTE ⚠ 80%+ SANS ACTION</v>
          </cell>
          <cell r="R118" t="str">
            <v>Dépassé</v>
          </cell>
          <cell r="V118" t="str">
            <v>⚠ SANS ACTION PLANIFIÉE ⚠ DATE ACTION MANQUANTE ⚠ 80%+ SANS ACTION</v>
          </cell>
        </row>
        <row r="119">
          <cell r="A119" t="str">
            <v>Amine</v>
          </cell>
          <cell r="D119" t="str">
            <v>Institutional</v>
          </cell>
          <cell r="H119">
            <v>2000000</v>
          </cell>
          <cell r="I119">
            <v>0.1</v>
          </cell>
          <cell r="L119" t="str">
            <v>Prospection</v>
          </cell>
          <cell r="O119" t="str">
            <v>LOW</v>
          </cell>
          <cell r="P119" t="str">
            <v>⚠ SANS ACTION PLANIFIÉE ⚠ DATE ACTION MANQUANTE</v>
          </cell>
          <cell r="R119" t="str">
            <v>Dépassé</v>
          </cell>
          <cell r="V119" t="str">
            <v>⚠ SANS ACTION PLANIFIÉE ⚠ DATE ACTION MANQUANTE</v>
          </cell>
        </row>
        <row r="120">
          <cell r="A120" t="str">
            <v>Oussama</v>
          </cell>
          <cell r="D120" t="str">
            <v>Residential</v>
          </cell>
          <cell r="H120">
            <v>460000</v>
          </cell>
          <cell r="I120">
            <v>0.5</v>
          </cell>
          <cell r="L120" t="str">
            <v>Prospection</v>
          </cell>
          <cell r="O120" t="str">
            <v>MEDIUM</v>
          </cell>
          <cell r="P120" t="str">
            <v>⚠ SANS ACTION PLANIFIÉE ⚠ DATE ACTION MANQUANTE</v>
          </cell>
          <cell r="R120" t="str">
            <v>Dépassé</v>
          </cell>
          <cell r="V120" t="str">
            <v>⚠ SANS ACTION PLANIFIÉE ⚠ DATE ACTION MANQUANTE</v>
          </cell>
        </row>
        <row r="121">
          <cell r="A121" t="str">
            <v>Hassan</v>
          </cell>
          <cell r="D121" t="str">
            <v>Residential</v>
          </cell>
          <cell r="H121">
            <v>400000</v>
          </cell>
          <cell r="I121">
            <v>0.1</v>
          </cell>
          <cell r="L121" t="str">
            <v>Prospection</v>
          </cell>
          <cell r="O121" t="str">
            <v>LOW</v>
          </cell>
          <cell r="P121" t="str">
            <v>⚠ SANS ACTION PLANIFIÉE ⚠ DATE ACTION MANQUANTE</v>
          </cell>
          <cell r="R121" t="str">
            <v>Dépassé</v>
          </cell>
          <cell r="V121" t="str">
            <v>⚠ SANS ACTION PLANIFIÉE ⚠ DATE ACTION MANQUANTE</v>
          </cell>
        </row>
        <row r="122">
          <cell r="A122" t="str">
            <v>Hassan</v>
          </cell>
          <cell r="D122" t="str">
            <v>Institutional</v>
          </cell>
          <cell r="H122">
            <v>400000</v>
          </cell>
          <cell r="I122">
            <v>0.1</v>
          </cell>
          <cell r="L122" t="str">
            <v>Prospection</v>
          </cell>
          <cell r="O122" t="str">
            <v>LOW</v>
          </cell>
          <cell r="P122" t="str">
            <v>⚠ SANS ACTION PLANIFIÉE ⚠ DATE ACTION MANQUANTE</v>
          </cell>
          <cell r="R122" t="str">
            <v>Dépassé</v>
          </cell>
          <cell r="V122" t="str">
            <v>⚠ SANS ACTION PLANIFIÉE ⚠ DATE ACTION MANQUANTE</v>
          </cell>
        </row>
        <row r="123">
          <cell r="A123" t="str">
            <v>Ibtissam</v>
          </cell>
          <cell r="D123" t="str">
            <v>Residential</v>
          </cell>
          <cell r="H123">
            <v>400000</v>
          </cell>
          <cell r="I123">
            <v>0.8</v>
          </cell>
          <cell r="L123" t="str">
            <v>En cours</v>
          </cell>
          <cell r="O123" t="str">
            <v>HIGH</v>
          </cell>
          <cell r="P123" t="str">
            <v>⚠ SANS ACTION PLANIFIÉE ⚠ DATE ACTION MANQUANTE ⚠ 80%+ SANS ACTION</v>
          </cell>
          <cell r="R123" t="str">
            <v>Dépassé</v>
          </cell>
          <cell r="V123" t="str">
            <v>⚠ SANS ACTION PLANIFIÉE ⚠ DATE ACTION MANQUANTE ⚠ 80%+ SANS ACTION</v>
          </cell>
        </row>
        <row r="124">
          <cell r="A124" t="str">
            <v>Ibtissam</v>
          </cell>
          <cell r="D124" t="str">
            <v>Residential</v>
          </cell>
          <cell r="H124">
            <v>400000</v>
          </cell>
          <cell r="I124">
            <v>0.1</v>
          </cell>
          <cell r="L124" t="str">
            <v>Prospection</v>
          </cell>
          <cell r="O124" t="str">
            <v>LOW</v>
          </cell>
          <cell r="P124" t="str">
            <v>⚠ SANS ACTION PLANIFIÉE ⚠ DATE ACTION MANQUANTE</v>
          </cell>
          <cell r="R124" t="str">
            <v>Dépassé</v>
          </cell>
          <cell r="V124" t="str">
            <v>⚠ SANS ACTION PLANIFIÉE ⚠ DATE ACTION MANQUANTE</v>
          </cell>
        </row>
        <row r="125">
          <cell r="A125" t="str">
            <v>Oussama</v>
          </cell>
          <cell r="D125" t="str">
            <v>Residential</v>
          </cell>
          <cell r="H125">
            <v>110000</v>
          </cell>
          <cell r="I125">
            <v>1</v>
          </cell>
          <cell r="L125" t="str">
            <v>Gagné</v>
          </cell>
        </row>
        <row r="126">
          <cell r="A126" t="str">
            <v>Oussama</v>
          </cell>
          <cell r="D126" t="str">
            <v>Residential</v>
          </cell>
          <cell r="H126">
            <v>400000</v>
          </cell>
          <cell r="I126">
            <v>0.5</v>
          </cell>
          <cell r="L126" t="str">
            <v>Prospection</v>
          </cell>
          <cell r="O126" t="str">
            <v>MEDIUM</v>
          </cell>
          <cell r="P126" t="str">
            <v>⚠ SANS ACTION PLANIFIÉE ⚠ DATE ACTION MANQUANTE</v>
          </cell>
          <cell r="R126" t="str">
            <v>Dépassé</v>
          </cell>
          <cell r="V126" t="str">
            <v>⚠ SANS ACTION PLANIFIÉE ⚠ DATE ACTION MANQUANTE</v>
          </cell>
        </row>
        <row r="127">
          <cell r="A127" t="str">
            <v>Oussama</v>
          </cell>
          <cell r="D127" t="str">
            <v>Residential</v>
          </cell>
          <cell r="H127">
            <v>363440</v>
          </cell>
          <cell r="I127">
            <v>0.5</v>
          </cell>
          <cell r="L127" t="str">
            <v>Prospection</v>
          </cell>
          <cell r="O127" t="str">
            <v>MEDIUM</v>
          </cell>
          <cell r="P127" t="str">
            <v>⚠ SANS ACTION PLANIFIÉE ⚠ DATE ACTION MANQUANTE</v>
          </cell>
          <cell r="R127" t="str">
            <v>Dépassé</v>
          </cell>
          <cell r="V127" t="str">
            <v>⚠ SANS ACTION PLANIFIÉE ⚠ DATE ACTION MANQUANTE</v>
          </cell>
        </row>
        <row r="128">
          <cell r="A128" t="str">
            <v>Ibtissam</v>
          </cell>
          <cell r="D128" t="str">
            <v>Residential</v>
          </cell>
          <cell r="H128">
            <v>300000</v>
          </cell>
          <cell r="I128">
            <v>0.8</v>
          </cell>
          <cell r="L128" t="str">
            <v>En cours</v>
          </cell>
          <cell r="O128" t="str">
            <v>HIGH</v>
          </cell>
          <cell r="P128" t="str">
            <v>⚠ SANS ACTION PLANIFIÉE ⚠ DATE ACTION MANQUANTE ⚠ 80%+ SANS ACTION</v>
          </cell>
          <cell r="R128" t="str">
            <v>Dépassé</v>
          </cell>
          <cell r="V128" t="str">
            <v>⚠ SANS ACTION PLANIFIÉE ⚠ DATE ACTION MANQUANTE ⚠ 80%+ SANS ACTION</v>
          </cell>
        </row>
        <row r="129">
          <cell r="A129" t="str">
            <v>Oussama</v>
          </cell>
          <cell r="D129" t="str">
            <v>Residential</v>
          </cell>
          <cell r="H129">
            <v>254408</v>
          </cell>
          <cell r="I129">
            <v>0.5</v>
          </cell>
          <cell r="L129" t="str">
            <v>Prospection</v>
          </cell>
          <cell r="O129" t="str">
            <v>MEDIUM</v>
          </cell>
          <cell r="P129" t="str">
            <v>⚠ SANS ACTION PLANIFIÉE ⚠ DATE ACTION MANQUANTE</v>
          </cell>
          <cell r="R129" t="str">
            <v>Dépassé</v>
          </cell>
          <cell r="V129" t="str">
            <v>⚠ SANS ACTION PLANIFIÉE ⚠ DATE ACTION MANQUANTE</v>
          </cell>
        </row>
        <row r="130">
          <cell r="A130" t="str">
            <v>Oussama</v>
          </cell>
          <cell r="D130" t="str">
            <v>Residential</v>
          </cell>
          <cell r="H130">
            <v>8700000</v>
          </cell>
          <cell r="I130">
            <v>0.5</v>
          </cell>
          <cell r="L130" t="str">
            <v>En cours</v>
          </cell>
        </row>
        <row r="131">
          <cell r="A131" t="str">
            <v>Oussama</v>
          </cell>
          <cell r="D131" t="str">
            <v>Residential</v>
          </cell>
          <cell r="H131">
            <v>225000</v>
          </cell>
          <cell r="I131">
            <v>0.8</v>
          </cell>
          <cell r="L131" t="str">
            <v>Négociation</v>
          </cell>
          <cell r="O131" t="str">
            <v>HIGH</v>
          </cell>
          <cell r="P131" t="str">
            <v>⚠ SANS ACTION PLANIFIÉE ⚠ DATE ACTION MANQUANTE ⚠ 80%+ SANS ACTION</v>
          </cell>
          <cell r="R131" t="str">
            <v>Dépassé</v>
          </cell>
          <cell r="V131" t="str">
            <v>⚠ SANS ACTION PLANIFIÉE ⚠ DATE ACTION MANQUANTE ⚠ 80%+ SANS ACTION</v>
          </cell>
        </row>
        <row r="132">
          <cell r="A132" t="str">
            <v>Oussama</v>
          </cell>
          <cell r="D132" t="str">
            <v>Residential</v>
          </cell>
          <cell r="H132">
            <v>181720</v>
          </cell>
          <cell r="I132">
            <v>0.5</v>
          </cell>
          <cell r="L132" t="str">
            <v>Prospection</v>
          </cell>
          <cell r="O132" t="str">
            <v>MEDIUM</v>
          </cell>
          <cell r="P132" t="str">
            <v>⚠ SANS ACTION PLANIFIÉE ⚠ DATE ACTION MANQUANTE</v>
          </cell>
          <cell r="R132" t="str">
            <v>Dépassé</v>
          </cell>
          <cell r="V132" t="str">
            <v>⚠ SANS ACTION PLANIFIÉE ⚠ DATE ACTION MANQUANTE</v>
          </cell>
        </row>
        <row r="133">
          <cell r="A133" t="str">
            <v>Hassan</v>
          </cell>
          <cell r="D133" t="str">
            <v>Residential</v>
          </cell>
          <cell r="H133">
            <v>84040</v>
          </cell>
          <cell r="I133">
            <v>0.5</v>
          </cell>
          <cell r="L133" t="str">
            <v>En cours</v>
          </cell>
          <cell r="O133" t="str">
            <v>MEDIUM</v>
          </cell>
          <cell r="P133" t="str">
            <v>⚠ SANS ACTION PLANIFIÉE ⚠ DATE ACTION MANQUANTE</v>
          </cell>
          <cell r="R133" t="str">
            <v>Dépassé</v>
          </cell>
          <cell r="V133" t="str">
            <v>⚠ SANS ACTION PLANIFIÉE ⚠ DATE ACTION MANQUANTE</v>
          </cell>
        </row>
        <row r="134">
          <cell r="A134" t="str">
            <v>Ibtissam</v>
          </cell>
          <cell r="D134" t="str">
            <v>Commercial</v>
          </cell>
          <cell r="H134">
            <v>78000</v>
          </cell>
          <cell r="I134">
            <v>0.1</v>
          </cell>
          <cell r="L134" t="str">
            <v>Prospection</v>
          </cell>
          <cell r="O134" t="str">
            <v>LOW</v>
          </cell>
          <cell r="P134" t="str">
            <v>⚠ SANS ACTION PLANIFIÉE ⚠ DATE ACTION MANQUANTE</v>
          </cell>
          <cell r="R134" t="str">
            <v>Dépassé</v>
          </cell>
          <cell r="V134" t="str">
            <v>⚠ SANS ACTION PLANIFIÉE ⚠ DATE ACTION MANQUANTE</v>
          </cell>
        </row>
        <row r="135">
          <cell r="A135" t="str">
            <v>Ibtissam</v>
          </cell>
          <cell r="D135" t="str">
            <v>Residential</v>
          </cell>
          <cell r="H135">
            <v>50000</v>
          </cell>
          <cell r="I135">
            <v>0.1</v>
          </cell>
          <cell r="L135" t="str">
            <v>Prospection</v>
          </cell>
          <cell r="O135" t="str">
            <v>LOW</v>
          </cell>
          <cell r="P135" t="str">
            <v>⚠ SANS ACTION PLANIFIÉE ⚠ DATE ACTION MANQUANTE</v>
          </cell>
          <cell r="R135" t="str">
            <v>Dépassé</v>
          </cell>
          <cell r="V135" t="str">
            <v>⚠ SANS ACTION PLANIFIÉE ⚠ DATE ACTION MANQUANTE</v>
          </cell>
        </row>
        <row r="136">
          <cell r="A136" t="str">
            <v>Ibtissam</v>
          </cell>
          <cell r="D136" t="str">
            <v>Residential</v>
          </cell>
          <cell r="H136">
            <v>50000</v>
          </cell>
          <cell r="I136">
            <v>0.1</v>
          </cell>
          <cell r="L136" t="str">
            <v>Prospection</v>
          </cell>
          <cell r="O136" t="str">
            <v>LOW</v>
          </cell>
          <cell r="P136" t="str">
            <v>⚠ SANS ACTION PLANIFIÉE ⚠ DATE ACTION MANQUANTE</v>
          </cell>
          <cell r="R136" t="str">
            <v>Dépassé</v>
          </cell>
          <cell r="V136" t="str">
            <v>⚠ SANS ACTION PLANIFIÉE ⚠ DATE ACTION MANQUANTE</v>
          </cell>
        </row>
        <row r="137">
          <cell r="A137" t="str">
            <v>Ibtissam</v>
          </cell>
          <cell r="D137" t="str">
            <v>Residential</v>
          </cell>
          <cell r="H137">
            <v>50000</v>
          </cell>
          <cell r="I137">
            <v>0.1</v>
          </cell>
          <cell r="L137" t="str">
            <v>Prospection</v>
          </cell>
          <cell r="O137" t="str">
            <v>LOW</v>
          </cell>
          <cell r="P137" t="str">
            <v>⚠ SANS ACTION PLANIFIÉE ⚠ DATE ACTION MANQUANTE</v>
          </cell>
          <cell r="R137" t="str">
            <v>Dépassé</v>
          </cell>
          <cell r="V137" t="str">
            <v>⚠ SANS ACTION PLANIFIÉE ⚠ DATE ACTION MANQUANTE</v>
          </cell>
        </row>
        <row r="206">
          <cell r="A206" t="str">
            <v>Amine</v>
          </cell>
          <cell r="D206" t="str">
            <v>Institutional</v>
          </cell>
          <cell r="H206">
            <v>400000</v>
          </cell>
          <cell r="I206">
            <v>0.1</v>
          </cell>
          <cell r="L206" t="str">
            <v>En cours</v>
          </cell>
        </row>
        <row r="207">
          <cell r="A207" t="str">
            <v>Amine</v>
          </cell>
          <cell r="D207" t="str">
            <v>Residential</v>
          </cell>
          <cell r="H207">
            <v>3000000</v>
          </cell>
          <cell r="I207">
            <v>0.1</v>
          </cell>
          <cell r="L207" t="str">
            <v>En cours</v>
          </cell>
        </row>
        <row r="208">
          <cell r="A208" t="str">
            <v>Amine</v>
          </cell>
          <cell r="D208" t="str">
            <v>Residential</v>
          </cell>
          <cell r="H208">
            <v>10000000</v>
          </cell>
          <cell r="I208">
            <v>0.1</v>
          </cell>
          <cell r="L208" t="str">
            <v>Prospection</v>
          </cell>
        </row>
        <row r="209">
          <cell r="A209" t="str">
            <v>Amine</v>
          </cell>
          <cell r="D209" t="str">
            <v>Residential</v>
          </cell>
          <cell r="H209">
            <v>5000000</v>
          </cell>
          <cell r="I209">
            <v>0.1</v>
          </cell>
          <cell r="L209" t="str">
            <v>Prospection</v>
          </cell>
        </row>
        <row r="210">
          <cell r="A210" t="str">
            <v>Amine</v>
          </cell>
          <cell r="D210" t="str">
            <v>Residential</v>
          </cell>
          <cell r="H210">
            <v>4000000</v>
          </cell>
          <cell r="I210">
            <v>0.1</v>
          </cell>
          <cell r="L210" t="str">
            <v>Prospection</v>
          </cell>
        </row>
      </sheetData>
      <sheetData sheetId="2"/>
      <sheetData sheetId="3"/>
      <sheetData sheetId="4">
        <row r="2">
          <cell r="B2">
            <v>20000000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AA21-034D-4E6F-862D-F4BF0FE2C88F}">
  <sheetPr>
    <tabColor rgb="FFC9A84C"/>
  </sheetPr>
  <dimension ref="A1:O105"/>
  <sheetViews>
    <sheetView showGridLines="0" tabSelected="1" topLeftCell="C1" zoomScaleNormal="100" workbookViewId="0">
      <selection activeCell="I15" sqref="I15"/>
    </sheetView>
  </sheetViews>
  <sheetFormatPr baseColWidth="10" defaultColWidth="8.6640625" defaultRowHeight="14.4" x14ac:dyDescent="0.3"/>
  <cols>
    <col min="1" max="2" width="16" customWidth="1"/>
    <col min="3" max="3" width="18" customWidth="1"/>
    <col min="4" max="4" width="13" customWidth="1"/>
    <col min="5" max="5" width="18" customWidth="1"/>
    <col min="6" max="6" width="13" customWidth="1"/>
    <col min="7" max="7" width="16" customWidth="1"/>
    <col min="8" max="8" width="15" customWidth="1"/>
    <col min="9" max="9" width="16" customWidth="1"/>
    <col min="10" max="10" width="18" customWidth="1"/>
    <col min="11" max="13" width="16" customWidth="1"/>
    <col min="14" max="14" width="22" customWidth="1"/>
  </cols>
  <sheetData>
    <row r="1" spans="1:15" ht="7.5" customHeight="1" x14ac:dyDescent="0.3"/>
    <row r="2" spans="1:15" ht="39.75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8" customHeight="1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7.5" customHeight="1" x14ac:dyDescent="0.3"/>
    <row r="5" spans="1:15" ht="9.75" customHeight="1" x14ac:dyDescent="0.3"/>
    <row r="6" spans="1:15" ht="30" customHeight="1" x14ac:dyDescent="0.3">
      <c r="A6" s="4" t="s">
        <v>2</v>
      </c>
      <c r="B6" s="2"/>
      <c r="C6" s="2"/>
      <c r="D6" s="5" t="s">
        <v>3</v>
      </c>
      <c r="E6" s="2"/>
      <c r="F6" s="2"/>
      <c r="G6" s="6" t="s">
        <v>4</v>
      </c>
      <c r="H6" s="2"/>
      <c r="I6" s="2"/>
      <c r="J6" s="7" t="s">
        <v>5</v>
      </c>
      <c r="K6" s="2"/>
      <c r="L6" s="2"/>
      <c r="M6" s="8" t="s">
        <v>6</v>
      </c>
      <c r="N6" s="2"/>
      <c r="O6" s="2"/>
    </row>
    <row r="7" spans="1:15" ht="37.5" customHeight="1" x14ac:dyDescent="0.3">
      <c r="A7" s="9">
        <f>SUMIF('[1]BASE DONNÉES'!L:L,"&lt;&gt;Perdu",'[1]BASE DONNÉES'!H:H)</f>
        <v>723669016.08000004</v>
      </c>
      <c r="B7" s="2"/>
      <c r="C7" s="2"/>
      <c r="D7" s="10">
        <f>SUMPRODUCT(('[1]BASE DONNÉES'!L2:L137&lt;&gt;"Perdu")*('[1]BASE DONNÉES'!L2:L137&lt;&gt;"")*ISNUMBER('[1]BASE DONNÉES'!H2:H137)*ISNUMBER('[1]BASE DONNÉES'!I2:I137)*('[1]BASE DONNÉES'!H2:H137)*('[1]BASE DONNÉES'!I2:I137))</f>
        <v>253710318.44</v>
      </c>
      <c r="E7" s="2"/>
      <c r="F7" s="2"/>
      <c r="G7" s="11">
        <f>COUNTIFS('[1]BASE DONNÉES'!L2:L137,"&lt;&gt;Perdu",'[1]BASE DONNÉES'!L2:L137,"&lt;&gt;",'[1]BASE DONNÉES'!A2:A137,"&lt;&gt;")</f>
        <v>130</v>
      </c>
      <c r="H7" s="2"/>
      <c r="I7" s="2"/>
      <c r="J7" s="12">
        <f>SUMPRODUCT(('[1]BASE DONNÉES'!A2:A137&lt;&gt;"")*(LEN('[1]BASE DONNÉES'!P2:P137)&gt;0))</f>
        <v>115</v>
      </c>
      <c r="K7" s="2"/>
      <c r="L7" s="2"/>
      <c r="M7" s="13">
        <f>COUNTIF('[1]BASE DONNÉES'!O:O,"HIGH")</f>
        <v>38</v>
      </c>
      <c r="N7" s="2"/>
      <c r="O7" s="2"/>
    </row>
    <row r="8" spans="1:15" ht="9.75" customHeight="1" x14ac:dyDescent="0.3">
      <c r="A8" s="14"/>
      <c r="B8" s="2"/>
      <c r="C8" s="2"/>
      <c r="D8" s="15"/>
      <c r="E8" s="2"/>
      <c r="F8" s="2"/>
      <c r="G8" s="16"/>
      <c r="H8" s="2"/>
      <c r="I8" s="2"/>
      <c r="J8" s="17"/>
      <c r="K8" s="2"/>
      <c r="L8" s="2"/>
      <c r="M8" s="14"/>
      <c r="N8" s="2"/>
      <c r="O8" s="2"/>
    </row>
    <row r="9" spans="1:15" ht="12" customHeight="1" x14ac:dyDescent="0.3"/>
    <row r="10" spans="1:15" ht="21.75" customHeight="1" x14ac:dyDescent="0.3">
      <c r="A10" s="18" t="s">
        <v>7</v>
      </c>
      <c r="B10" s="2"/>
      <c r="C10" s="2"/>
      <c r="D10" s="2"/>
      <c r="E10" s="2"/>
      <c r="F10" s="2"/>
      <c r="H10" s="18" t="s">
        <v>8</v>
      </c>
      <c r="I10" s="2"/>
      <c r="J10" s="2"/>
      <c r="K10" s="2"/>
      <c r="L10" s="2"/>
      <c r="M10" s="2"/>
      <c r="N10" s="2"/>
    </row>
    <row r="11" spans="1:15" ht="19.5" customHeight="1" x14ac:dyDescent="0.3">
      <c r="A11" s="19" t="s">
        <v>9</v>
      </c>
      <c r="B11" s="19" t="s">
        <v>10</v>
      </c>
      <c r="C11" s="19" t="s">
        <v>11</v>
      </c>
      <c r="D11" s="19" t="s">
        <v>12</v>
      </c>
      <c r="E11" s="19" t="s">
        <v>13</v>
      </c>
      <c r="F11" s="19" t="s">
        <v>14</v>
      </c>
      <c r="H11" s="19" t="s">
        <v>15</v>
      </c>
      <c r="I11" s="19" t="s">
        <v>16</v>
      </c>
      <c r="J11" s="19" t="s">
        <v>11</v>
      </c>
      <c r="K11" s="19" t="s">
        <v>17</v>
      </c>
      <c r="L11" s="19" t="s">
        <v>13</v>
      </c>
      <c r="M11" s="19" t="s">
        <v>18</v>
      </c>
    </row>
    <row r="12" spans="1:15" ht="15" customHeight="1" x14ac:dyDescent="0.3">
      <c r="A12" s="20" t="s">
        <v>19</v>
      </c>
      <c r="B12" s="21">
        <f>COUNTIFS('[1]BASE DONNÉES'!A:A,"Amine",'[1]BASE DONNÉES'!L:L,"&lt;&gt;Perdu")</f>
        <v>41</v>
      </c>
      <c r="C12" s="22">
        <f>SUMIFS('[1]BASE DONNÉES'!H:H,'[1]BASE DONNÉES'!A:A,"Amine",'[1]BASE DONNÉES'!L:L,"&lt;&gt;Perdu")</f>
        <v>202950000</v>
      </c>
      <c r="D12" s="23">
        <f>IFERROR(SUMIFS('[1]BASE DONNÉES'!H:H,'[1]BASE DONNÉES'!A:A,"Amine",'[1]BASE DONNÉES'!L:L,"&lt;&gt;Perdu")/SUMIF('[1]BASE DONNÉES'!L:L,"&lt;&gt;Perdu",'[1]BASE DONNÉES'!H:H),0)</f>
        <v>0.28044588823126332</v>
      </c>
      <c r="E12" s="22">
        <f>SUMPRODUCT(('[1]BASE DONNÉES'!A2:A137="Amine")*('[1]BASE DONNÉES'!L2:L137&lt;&gt;"Perdu")*('[1]BASE DONNÉES'!L2:L137&lt;&gt;"")*ISNUMBER('[1]BASE DONNÉES'!H2:H137)*ISNUMBER('[1]BASE DONNÉES'!I2:I137)*('[1]BASE DONNÉES'!H2:H137)*('[1]BASE DONNÉES'!I2:I137))</f>
        <v>55360000</v>
      </c>
      <c r="F12" s="21">
        <f>COUNTIFS('[1]BASE DONNÉES'!A:A,"Amine",'[1]BASE DONNÉES'!O:O,"HIGH")</f>
        <v>6</v>
      </c>
      <c r="H12" s="24" t="s">
        <v>20</v>
      </c>
      <c r="I12" s="25">
        <f>COUNTIF('[1]BASE DONNÉES'!L:L,"Prospection")</f>
        <v>71</v>
      </c>
      <c r="J12" s="26">
        <f>SUMIF('[1]BASE DONNÉES'!L:L,"Prospection",'[1]BASE DONNÉES'!H:H)</f>
        <v>435049188</v>
      </c>
      <c r="K12" s="27">
        <f>IFERROR(SUMIF('[1]BASE DONNÉES'!L:L,"Prospection",'[1]BASE DONNÉES'!H:H)/SUMIF('[1]BASE DONNÉES'!L:L,"&lt;&gt;Perdu",'[1]BASE DONNÉES'!H:H),0)</f>
        <v>0.60117150013771803</v>
      </c>
      <c r="L12" s="26">
        <f>SUMPRODUCT(('[1]BASE DONNÉES'!L2:L137="Prospection")*ISNUMBER('[1]BASE DONNÉES'!H2:H137)*ISNUMBER('[1]BASE DONNÉES'!I2:I137)*('[1]BASE DONNÉES'!H2:H137)*('[1]BASE DONNÉES'!I2:I137))</f>
        <v>102524136</v>
      </c>
      <c r="M12" s="28">
        <f>IFERROR(SUMPRODUCT(('[1]BASE DONNÉES'!L1:L506="Prospection")*(NOT(ISBLANK('[1]BASE DONNÉES'!H1:H506)))*(NOT(ISBLANK('[1]BASE DONNÉES'!I1:I506)))*('[1]BASE DONNÉES'!H1:H506)*('[1]BASE DONNÉES'!I1:I506)),0)</f>
        <v>0</v>
      </c>
      <c r="N12" s="29"/>
    </row>
    <row r="13" spans="1:15" ht="15" customHeight="1" x14ac:dyDescent="0.3">
      <c r="A13" s="30" t="s">
        <v>21</v>
      </c>
      <c r="B13" s="31">
        <f>COUNTIFS('[1]BASE DONNÉES'!A:A,"Bruno",'[1]BASE DONNÉES'!L:L,"&lt;&gt;Perdu")</f>
        <v>50</v>
      </c>
      <c r="C13" s="32">
        <f>SUMIFS('[1]BASE DONNÉES'!H:H,'[1]BASE DONNÉES'!A:A,"Bruno",'[1]BASE DONNÉES'!L:L,"&lt;&gt;Perdu")</f>
        <v>437355658.07999998</v>
      </c>
      <c r="D13" s="33">
        <f>IFERROR(SUMIFS('[1]BASE DONNÉES'!H:H,'[1]BASE DONNÉES'!A:A,"Bruno",'[1]BASE DONNÉES'!L:L,"&lt;&gt;Perdu")/SUMIF('[1]BASE DONNÉES'!L:L,"&lt;&gt;Perdu",'[1]BASE DONNÉES'!H:H),0)</f>
        <v>0.60435868934818571</v>
      </c>
      <c r="E13" s="32">
        <f>SUMPRODUCT(('[1]BASE DONNÉES'!A2:A137="Bruno")*('[1]BASE DONNÉES'!L2:L137&lt;&gt;"Perdu")*('[1]BASE DONNÉES'!L2:L137&lt;&gt;"")*ISNUMBER('[1]BASE DONNÉES'!H2:H137)*ISNUMBER('[1]BASE DONNÉES'!I2:I137)*('[1]BASE DONNÉES'!H2:H137)*('[1]BASE DONNÉES'!I2:I137))</f>
        <v>149110314.44</v>
      </c>
      <c r="F13" s="31">
        <f>COUNTIFS('[1]BASE DONNÉES'!A:A,"Bruno",'[1]BASE DONNÉES'!O:O,"HIGH")</f>
        <v>18</v>
      </c>
      <c r="H13" s="34" t="s">
        <v>22</v>
      </c>
      <c r="I13" s="35">
        <f>COUNTIF('[1]BASE DONNÉES'!L:L,"En cours")</f>
        <v>48</v>
      </c>
      <c r="J13" s="36">
        <f>SUMIF('[1]BASE DONNÉES'!L:L,"En cours",'[1]BASE DONNÉES'!H:H)</f>
        <v>245794828.08000001</v>
      </c>
      <c r="K13" s="37">
        <f>IFERROR(SUMIF('[1]BASE DONNÉES'!L:L,"En cours",'[1]BASE DONNÉES'!H:H)/SUMIF('[1]BASE DONNÉES'!L:L,"&lt;&gt;Perdu",'[1]BASE DONNÉES'!H:H),0)</f>
        <v>0.33965089373513807</v>
      </c>
      <c r="L13" s="36">
        <f>SUMPRODUCT(('[1]BASE DONNÉES'!L2:L137="En cours")*ISNUMBER('[1]BASE DONNÉES'!H2:H137)*ISNUMBER('[1]BASE DONNÉES'!I2:I137)*('[1]BASE DONNÉES'!H2:H137)*('[1]BASE DONNÉES'!I2:I137))</f>
        <v>111366182.44</v>
      </c>
      <c r="M13" s="38">
        <f>IFERROR(SUMPRODUCT(('[1]BASE DONNÉES'!L1:L506="En cours")*(NOT(ISBLANK('[1]BASE DONNÉES'!H1:H506)))*(NOT(ISBLANK('[1]BASE DONNÉES'!I1:I506)))*('[1]BASE DONNÉES'!H1:H506)*('[1]BASE DONNÉES'!I1:I506)),0)</f>
        <v>0</v>
      </c>
      <c r="N13" s="29"/>
    </row>
    <row r="14" spans="1:15" ht="15" customHeight="1" x14ac:dyDescent="0.3">
      <c r="A14" s="20" t="s">
        <v>23</v>
      </c>
      <c r="B14" s="21">
        <f>COUNTIFS('[1]BASE DONNÉES'!A:A,"Taoufik",'[1]BASE DONNÉES'!L:L,"&lt;&gt;Perdu")</f>
        <v>14</v>
      </c>
      <c r="C14" s="22">
        <f>SUMIFS('[1]BASE DONNÉES'!H:H,'[1]BASE DONNÉES'!A:A,"Taoufik",'[1]BASE DONNÉES'!L:L,"&lt;&gt;Perdu")</f>
        <v>27780000</v>
      </c>
      <c r="D14" s="23">
        <f>IFERROR(SUMIFS('[1]BASE DONNÉES'!H:H,'[1]BASE DONNÉES'!A:A,"Taoufik",'[1]BASE DONNÉES'!L:L,"&lt;&gt;Perdu")/SUMIF('[1]BASE DONNÉES'!L:L,"&lt;&gt;Perdu",'[1]BASE DONNÉES'!H:H),0)</f>
        <v>3.8387715077923108E-2</v>
      </c>
      <c r="E14" s="22">
        <f>SUMPRODUCT(('[1]BASE DONNÉES'!A2:A137="Taoufik")*('[1]BASE DONNÉES'!L2:L137&lt;&gt;"Perdu")*('[1]BASE DONNÉES'!L2:L137&lt;&gt;"")*ISNUMBER('[1]BASE DONNÉES'!H2:H137)*ISNUMBER('[1]BASE DONNÉES'!I2:I137)*('[1]BASE DONNÉES'!H2:H137)*('[1]BASE DONNÉES'!I2:I137))</f>
        <v>17420000</v>
      </c>
      <c r="F14" s="21">
        <f>COUNTIFS('[1]BASE DONNÉES'!A:A,"Taoufik",'[1]BASE DONNÉES'!O:O,"HIGH")</f>
        <v>7</v>
      </c>
      <c r="H14" s="39" t="s">
        <v>24</v>
      </c>
      <c r="I14" s="40">
        <f>COUNTIF('[1]BASE DONNÉES'!L:L,"Négociation")</f>
        <v>6</v>
      </c>
      <c r="J14" s="41">
        <f>SUMIF('[1]BASE DONNÉES'!L:L,"Négociation",'[1]BASE DONNÉES'!H:H)</f>
        <v>15025000</v>
      </c>
      <c r="K14" s="42">
        <f>IFERROR(SUMIF('[1]BASE DONNÉES'!L:L,"Négociation",'[1]BASE DONNÉES'!H:H)/SUMIF('[1]BASE DONNÉES'!L:L,"&lt;&gt;Perdu",'[1]BASE DONNÉES'!H:H),0)</f>
        <v>2.0762254105320184E-2</v>
      </c>
      <c r="L14" s="41">
        <f>SUMPRODUCT(('[1]BASE DONNÉES'!L2:L137="Négociation")*ISNUMBER('[1]BASE DONNÉES'!H2:H137)*ISNUMBER('[1]BASE DONNÉES'!I2:I137)*('[1]BASE DONNÉES'!H2:H137)*('[1]BASE DONNÉES'!I2:I137))</f>
        <v>12020000</v>
      </c>
      <c r="M14" s="43">
        <f>IFERROR(SUMPRODUCT(('[1]BASE DONNÉES'!L1:L506="Négociation")*(NOT(ISBLANK('[1]BASE DONNÉES'!H1:H506)))*(NOT(ISBLANK('[1]BASE DONNÉES'!I1:I506)))*('[1]BASE DONNÉES'!H1:H506)*('[1]BASE DONNÉES'!I1:I506)),0)</f>
        <v>0</v>
      </c>
      <c r="N14" s="29"/>
    </row>
    <row r="15" spans="1:15" ht="15" customHeight="1" x14ac:dyDescent="0.3">
      <c r="A15" s="30" t="s">
        <v>25</v>
      </c>
      <c r="B15" s="31">
        <f>COUNTIFS('[1]BASE DONNÉES'!A:A,"Ibtissam",'[1]BASE DONNÉES'!L:L,"&lt;&gt;Perdu")</f>
        <v>8</v>
      </c>
      <c r="C15" s="32">
        <f>SUMIFS('[1]BASE DONNÉES'!H:H,'[1]BASE DONNÉES'!A:A,"Ibtissam",'[1]BASE DONNÉES'!L:L,"&lt;&gt;Perdu")</f>
        <v>6328000</v>
      </c>
      <c r="D15" s="33">
        <f>IFERROR(SUMIFS('[1]BASE DONNÉES'!H:H,'[1]BASE DONNÉES'!A:A,"Ibtissam",'[1]BASE DONNÉES'!L:L,"&lt;&gt;Perdu")/SUMIF('[1]BASE DONNÉES'!L:L,"&lt;&gt;Perdu",'[1]BASE DONNÉES'!H:H),0)</f>
        <v>8.7443290501474959E-3</v>
      </c>
      <c r="E15" s="32">
        <f>SUMPRODUCT(('[1]BASE DONNÉES'!A2:A137="Ibtissam")*('[1]BASE DONNÉES'!L2:L137&lt;&gt;"Perdu")*('[1]BASE DONNÉES'!L2:L137&lt;&gt;"")*ISNUMBER('[1]BASE DONNÉES'!H2:H137)*ISNUMBER('[1]BASE DONNÉES'!I2:I137)*('[1]BASE DONNÉES'!H2:H137)*('[1]BASE DONNÉES'!I2:I137))</f>
        <v>4622800</v>
      </c>
      <c r="F15" s="31">
        <f>COUNTIFS('[1]BASE DONNÉES'!A:A,"Ibtissam",'[1]BASE DONNÉES'!O:O,"HIGH")</f>
        <v>3</v>
      </c>
      <c r="H15" s="44" t="s">
        <v>26</v>
      </c>
      <c r="I15" s="45">
        <f>COUNTIF('[1]BASE DONNÉES'!L:L,"Gagné")</f>
        <v>10</v>
      </c>
      <c r="J15" s="46">
        <f>SUMIF('[1]BASE DONNÉES'!L:L,"Gagné",'[1]BASE DONNÉES'!H:H)</f>
        <v>27800000</v>
      </c>
      <c r="K15" s="47">
        <f>IFERROR(SUMIF('[1]BASE DONNÉES'!L:L,"Gagné",'[1]BASE DONNÉES'!H:H)/SUMIF('[1]BASE DONNÉES'!L:L,"&lt;&gt;Perdu",'[1]BASE DONNÉES'!H:H),0)</f>
        <v>3.8415352021823702E-2</v>
      </c>
      <c r="L15" s="46">
        <f>SUMPRODUCT(('[1]BASE DONNÉES'!L2:L137="Gagné")*ISNUMBER('[1]BASE DONNÉES'!H2:H137)*ISNUMBER('[1]BASE DONNÉES'!I2:I137)*('[1]BASE DONNÉES'!H2:H137)*('[1]BASE DONNÉES'!I2:I137))</f>
        <v>27800000</v>
      </c>
      <c r="M15" s="48">
        <f>IFERROR(SUMPRODUCT(('[1]BASE DONNÉES'!L1:L506="Gagné")*(NOT(ISBLANK('[1]BASE DONNÉES'!H1:H506)))*(NOT(ISBLANK('[1]BASE DONNÉES'!I1:I506)))*('[1]BASE DONNÉES'!H1:H506)*('[1]BASE DONNÉES'!I1:I506)),0)</f>
        <v>0</v>
      </c>
      <c r="N15" s="29"/>
    </row>
    <row r="16" spans="1:15" ht="15" customHeight="1" x14ac:dyDescent="0.3">
      <c r="A16" s="20" t="s">
        <v>27</v>
      </c>
      <c r="B16" s="21">
        <f>COUNTIFS('[1]BASE DONNÉES'!A:A,"Oussama",'[1]BASE DONNÉES'!L:L,"&lt;&gt;Perdu")</f>
        <v>14</v>
      </c>
      <c r="C16" s="22">
        <f>SUMIFS('[1]BASE DONNÉES'!H:H,'[1]BASE DONNÉES'!A:A,"Oussama",'[1]BASE DONNÉES'!L:L,"&lt;&gt;Perdu")</f>
        <v>36371318</v>
      </c>
      <c r="D16" s="23">
        <f>IFERROR(SUMIFS('[1]BASE DONNÉES'!H:H,'[1]BASE DONNÉES'!A:A,"Oussama",'[1]BASE DONNÉES'!L:L,"&lt;&gt;Perdu")/SUMIF('[1]BASE DONNÉES'!L:L,"&lt;&gt;Perdu",'[1]BASE DONNÉES'!H:H),0)</f>
        <v>5.025960375783068E-2</v>
      </c>
      <c r="E16" s="22">
        <f>SUMPRODUCT(('[1]BASE DONNÉES'!A2:A137="Oussama")*('[1]BASE DONNÉES'!L2:L137&lt;&gt;"Perdu")*('[1]BASE DONNÉES'!L2:L137&lt;&gt;"")*ISNUMBER('[1]BASE DONNÉES'!H2:H137)*ISNUMBER('[1]BASE DONNÉES'!I2:I137)*('[1]BASE DONNÉES'!H2:H137)*('[1]BASE DONNÉES'!I2:I137))</f>
        <v>25875184</v>
      </c>
      <c r="F16" s="21">
        <f>COUNTIFS('[1]BASE DONNÉES'!A:A,"Oussama",'[1]BASE DONNÉES'!O:O,"HIGH")</f>
        <v>4</v>
      </c>
      <c r="H16" s="49" t="s">
        <v>28</v>
      </c>
      <c r="I16" s="50">
        <f>COUNTIF('[1]BASE DONNÉES'!L:L,"Perdu")</f>
        <v>5</v>
      </c>
      <c r="J16" s="51">
        <f>SUMIF('[1]BASE DONNÉES'!L:L,"Perdu",'[1]BASE DONNÉES'!H:H)</f>
        <v>23272801.315839998</v>
      </c>
      <c r="K16" s="52">
        <f>IFERROR(SUMIF('[1]BASE DONNÉES'!L:L,"Perdu",'[1]BASE DONNÉES'!H:H)/SUMIF('[1]BASE DONNÉES'!L:L,"&lt;&gt;Perdu",'[1]BASE DONNÉES'!H:H),0)</f>
        <v>3.2159455218775376E-2</v>
      </c>
      <c r="L16" s="51">
        <f>SUMPRODUCT(('[1]BASE DONNÉES'!L2:L137="Perdu")*ISNUMBER('[1]BASE DONNÉES'!H2:H137)*ISNUMBER('[1]BASE DONNÉES'!I2:I137)*('[1]BASE DONNÉES'!H2:H137)*('[1]BASE DONNÉES'!I2:I137))</f>
        <v>0</v>
      </c>
      <c r="M16" s="53">
        <f>IFERROR(SUMPRODUCT(('[1]BASE DONNÉES'!L1:L506="Perdu")*(NOT(ISBLANK('[1]BASE DONNÉES'!H1:H506)))*(NOT(ISBLANK('[1]BASE DONNÉES'!I1:I506)))*('[1]BASE DONNÉES'!H1:H506)*('[1]BASE DONNÉES'!I1:I506)),0)</f>
        <v>0</v>
      </c>
      <c r="N16" s="29"/>
    </row>
    <row r="17" spans="1:14" ht="15" customHeight="1" x14ac:dyDescent="0.3">
      <c r="A17" s="30" t="s">
        <v>29</v>
      </c>
      <c r="B17" s="31">
        <f>COUNTIFS('[1]BASE DONNÉES'!A:A,"Hassan",'[1]BASE DONNÉES'!L:L,"&lt;&gt;Perdu")</f>
        <v>8</v>
      </c>
      <c r="C17" s="32">
        <f>SUMIFS('[1]BASE DONNÉES'!H:H,'[1]BASE DONNÉES'!A:A,"Hassan",'[1]BASE DONNÉES'!L:L,"&lt;&gt;Perdu")</f>
        <v>12884040</v>
      </c>
      <c r="D17" s="33">
        <f>IFERROR(SUMIFS('[1]BASE DONNÉES'!H:H,'[1]BASE DONNÉES'!A:A,"Hassan",'[1]BASE DONNÉES'!L:L,"&lt;&gt;Perdu")/SUMIF('[1]BASE DONNÉES'!L:L,"&lt;&gt;Perdu",'[1]BASE DONNÉES'!H:H),0)</f>
        <v>1.7803774534649548E-2</v>
      </c>
      <c r="E17" s="32">
        <f>SUMPRODUCT(('[1]BASE DONNÉES'!A2:A137="Hassan")*('[1]BASE DONNÉES'!L2:L137&lt;&gt;"Perdu")*('[1]BASE DONNÉES'!L2:L137&lt;&gt;"")*ISNUMBER('[1]BASE DONNÉES'!H2:H137)*ISNUMBER('[1]BASE DONNÉES'!I2:I137)*('[1]BASE DONNÉES'!H2:H137)*('[1]BASE DONNÉES'!I2:I137))</f>
        <v>1322020</v>
      </c>
      <c r="F17" s="31">
        <f>COUNTIFS('[1]BASE DONNÉES'!A:A,"Hassan",'[1]BASE DONNÉES'!O:O,"HIGH")</f>
        <v>0</v>
      </c>
    </row>
    <row r="18" spans="1:14" ht="15.75" customHeight="1" x14ac:dyDescent="0.3">
      <c r="A18" s="54" t="s">
        <v>30</v>
      </c>
      <c r="B18" s="55">
        <f>SUM(B12:B17)</f>
        <v>135</v>
      </c>
      <c r="C18" s="56" t="s">
        <v>31</v>
      </c>
      <c r="D18" s="56"/>
      <c r="E18" s="57">
        <f>SUM(E12:E17)</f>
        <v>253710318.44</v>
      </c>
      <c r="F18" s="55">
        <f>SUM(F12:F17)</f>
        <v>38</v>
      </c>
    </row>
    <row r="19" spans="1:14" ht="12" customHeight="1" x14ac:dyDescent="0.3"/>
    <row r="20" spans="1:14" ht="21.75" customHeight="1" x14ac:dyDescent="0.3">
      <c r="A20" s="18" t="s">
        <v>32</v>
      </c>
      <c r="B20" s="2"/>
      <c r="C20" s="2"/>
      <c r="D20" s="2"/>
      <c r="E20" s="2"/>
      <c r="F20" s="2"/>
      <c r="H20" s="18" t="s">
        <v>33</v>
      </c>
      <c r="I20" s="2"/>
      <c r="J20" s="2"/>
      <c r="K20" s="2"/>
      <c r="L20" s="2"/>
      <c r="M20" s="2"/>
      <c r="N20" s="2"/>
    </row>
    <row r="21" spans="1:14" ht="19.5" customHeight="1" x14ac:dyDescent="0.3">
      <c r="A21" s="19" t="s">
        <v>34</v>
      </c>
      <c r="B21" s="19" t="s">
        <v>16</v>
      </c>
      <c r="C21" s="19" t="s">
        <v>11</v>
      </c>
      <c r="D21" s="19" t="s">
        <v>12</v>
      </c>
      <c r="E21" s="19" t="s">
        <v>13</v>
      </c>
      <c r="F21" s="19" t="s">
        <v>14</v>
      </c>
      <c r="H21" s="19" t="s">
        <v>35</v>
      </c>
      <c r="I21" s="19" t="s">
        <v>36</v>
      </c>
      <c r="J21" s="19" t="s">
        <v>16</v>
      </c>
      <c r="K21" s="19" t="s">
        <v>11</v>
      </c>
      <c r="L21" s="19" t="s">
        <v>13</v>
      </c>
      <c r="M21" s="19" t="s">
        <v>12</v>
      </c>
    </row>
    <row r="22" spans="1:14" ht="15" customHeight="1" x14ac:dyDescent="0.3">
      <c r="A22" s="20" t="s">
        <v>37</v>
      </c>
      <c r="B22" s="21">
        <f>COUNTIFS('[1]BASE DONNÉES'!D:D,"Residential",'[1]BASE DONNÉES'!L:L,"&lt;&gt;Perdu")</f>
        <v>97</v>
      </c>
      <c r="C22" s="22">
        <f>SUMIFS('[1]BASE DONNÉES'!H:H,'[1]BASE DONNÉES'!D:D,"Residential",'[1]BASE DONNÉES'!L:L,"&lt;&gt;Perdu")</f>
        <v>375987393</v>
      </c>
      <c r="D22" s="23">
        <f>IFERROR(SUMIFS('[1]BASE DONNÉES'!H:H,'[1]BASE DONNÉES'!D:D,"Residential",'[1]BASE DONNÉES'!L:L,"&lt;&gt;Perdu")/SUMIF('[1]BASE DONNÉES'!L:L,"&lt;&gt;Perdu",'[1]BASE DONNÉES'!H:H),0)</f>
        <v>0.51955712438355295</v>
      </c>
      <c r="E22" s="22">
        <f>SUMPRODUCT(('[1]BASE DONNÉES'!D2:D137="Residential")*('[1]BASE DONNÉES'!L2:L137&lt;&gt;"Perdu")*('[1]BASE DONNÉES'!L2:L137&lt;&gt;"")*ISNUMBER('[1]BASE DONNÉES'!H2:H137)*ISNUMBER('[1]BASE DONNÉES'!I2:I137)*('[1]BASE DONNÉES'!H2:H137)*('[1]BASE DONNÉES'!I2:I137))</f>
        <v>156572399.5</v>
      </c>
      <c r="F22" s="21">
        <f>COUNTIFS('[1]BASE DONNÉES'!D:D,"Residential",'[1]BASE DONNÉES'!O:O,"HIGH")</f>
        <v>33</v>
      </c>
      <c r="H22" s="58" t="s">
        <v>38</v>
      </c>
      <c r="I22" s="59" t="s">
        <v>39</v>
      </c>
      <c r="J22" s="21">
        <v>43</v>
      </c>
      <c r="K22" s="22">
        <v>177873116</v>
      </c>
      <c r="L22" s="22">
        <v>66094052.600000001</v>
      </c>
      <c r="M22" s="23">
        <v>0.28076761391149102</v>
      </c>
      <c r="N22" s="29"/>
    </row>
    <row r="23" spans="1:14" ht="15" customHeight="1" x14ac:dyDescent="0.3">
      <c r="A23" s="30" t="s">
        <v>40</v>
      </c>
      <c r="B23" s="31">
        <f>COUNTIFS('[1]BASE DONNÉES'!D:D,"Commercial",'[1]BASE DONNÉES'!L:L,"&lt;&gt;Perdu")</f>
        <v>10</v>
      </c>
      <c r="C23" s="32">
        <f>SUMIFS('[1]BASE DONNÉES'!H:H,'[1]BASE DONNÉES'!D:D,"Commercial",'[1]BASE DONNÉES'!L:L,"&lt;&gt;Perdu")</f>
        <v>67657359</v>
      </c>
      <c r="D23" s="33">
        <f>IFERROR(SUMIFS('[1]BASE DONNÉES'!H:H,'[1]BASE DONNÉES'!D:D,"Commercial",'[1]BASE DONNÉES'!L:L,"&lt;&gt;Perdu")/SUMIF('[1]BASE DONNÉES'!L:L,"&lt;&gt;Perdu",'[1]BASE DONNÉES'!H:H),0)</f>
        <v>9.3492131757262661E-2</v>
      </c>
      <c r="E23" s="32">
        <f>SUMPRODUCT(('[1]BASE DONNÉES'!D2:D137="Commercial")*('[1]BASE DONNÉES'!L2:L137&lt;&gt;"Perdu")*('[1]BASE DONNÉES'!L2:L137&lt;&gt;"")*ISNUMBER('[1]BASE DONNÉES'!H2:H137)*ISNUMBER('[1]BASE DONNÉES'!I2:I137)*('[1]BASE DONNÉES'!H2:H137)*('[1]BASE DONNÉES'!I2:I137))</f>
        <v>21165961.899999999</v>
      </c>
      <c r="F23" s="31">
        <f>COUNTIFS('[1]BASE DONNÉES'!D:D,"Commercial",'[1]BASE DONNÉES'!O:O,"HIGH")</f>
        <v>2</v>
      </c>
      <c r="H23" s="60" t="s">
        <v>41</v>
      </c>
      <c r="I23" s="61" t="s">
        <v>39</v>
      </c>
      <c r="J23" s="31">
        <v>19</v>
      </c>
      <c r="K23" s="32">
        <v>119734507</v>
      </c>
      <c r="L23" s="32">
        <v>53666563.5</v>
      </c>
      <c r="M23" s="33">
        <v>0.188997486462534</v>
      </c>
      <c r="N23" s="29"/>
    </row>
    <row r="24" spans="1:14" ht="15" customHeight="1" x14ac:dyDescent="0.3">
      <c r="A24" s="20" t="s">
        <v>42</v>
      </c>
      <c r="B24" s="21">
        <f>COUNTIFS('[1]BASE DONNÉES'!D:D,"Hospitality",'[1]BASE DONNÉES'!L:L,"&lt;&gt;Perdu")</f>
        <v>12</v>
      </c>
      <c r="C24" s="22">
        <f>SUMIFS('[1]BASE DONNÉES'!H:H,'[1]BASE DONNÉES'!D:D,"Hospitality",'[1]BASE DONNÉES'!L:L,"&lt;&gt;Perdu")</f>
        <v>84178750</v>
      </c>
      <c r="D24" s="23">
        <f>IFERROR(SUMIFS('[1]BASE DONNÉES'!H:H,'[1]BASE DONNÉES'!D:D,"Hospitality",'[1]BASE DONNÉES'!L:L,"&lt;&gt;Perdu")/SUMIF('[1]BASE DONNÉES'!L:L,"&lt;&gt;Perdu",'[1]BASE DONNÉES'!H:H),0)</f>
        <v>0.11632216956860043</v>
      </c>
      <c r="E24" s="22">
        <f>SUMPRODUCT(('[1]BASE DONNÉES'!D2:D137="Hospitality")*('[1]BASE DONNÉES'!L2:L137&lt;&gt;"Perdu")*('[1]BASE DONNÉES'!L2:L137&lt;&gt;"")*ISNUMBER('[1]BASE DONNÉES'!H2:H137)*ISNUMBER('[1]BASE DONNÉES'!I2:I137)*('[1]BASE DONNÉES'!H2:H137)*('[1]BASE DONNÉES'!I2:I137))</f>
        <v>34385600</v>
      </c>
      <c r="F24" s="21">
        <f>COUNTIFS('[1]BASE DONNÉES'!D:D,"Hospitality",'[1]BASE DONNÉES'!O:O,"HIGH")</f>
        <v>2</v>
      </c>
      <c r="H24" s="58" t="s">
        <v>43</v>
      </c>
      <c r="I24" s="59" t="s">
        <v>39</v>
      </c>
      <c r="J24" s="21">
        <v>2</v>
      </c>
      <c r="K24" s="22">
        <v>101780000</v>
      </c>
      <c r="L24" s="22">
        <v>883900</v>
      </c>
      <c r="M24" s="23">
        <v>0.160656811926045</v>
      </c>
      <c r="N24" s="29"/>
    </row>
    <row r="25" spans="1:14" ht="15" customHeight="1" x14ac:dyDescent="0.3">
      <c r="A25" s="30" t="s">
        <v>44</v>
      </c>
      <c r="B25" s="31">
        <f>COUNTIFS('[1]BASE DONNÉES'!D:D,"Institutional",'[1]BASE DONNÉES'!L:L,"&lt;&gt;Perdu")</f>
        <v>13</v>
      </c>
      <c r="C25" s="32">
        <f>SUMIFS('[1]BASE DONNÉES'!H:H,'[1]BASE DONNÉES'!D:D,"Institutional",'[1]BASE DONNÉES'!L:L,"&lt;&gt;Perdu")</f>
        <v>190341000</v>
      </c>
      <c r="D25" s="33">
        <f>IFERROR(SUMIFS('[1]BASE DONNÉES'!H:H,'[1]BASE DONNÉES'!D:D,"Institutional",'[1]BASE DONNÉES'!L:L,"&lt;&gt;Perdu")/SUMIF('[1]BASE DONNÉES'!L:L,"&lt;&gt;Perdu",'[1]BASE DONNÉES'!H:H),0)</f>
        <v>0.26302217694913471</v>
      </c>
      <c r="E25" s="32">
        <f>SUMPRODUCT(('[1]BASE DONNÉES'!D2:D137="Institutional")*('[1]BASE DONNÉES'!L2:L137&lt;&gt;"Perdu")*('[1]BASE DONNÉES'!L2:L137&lt;&gt;"")*ISNUMBER('[1]BASE DONNÉES'!H2:H137)*ISNUMBER('[1]BASE DONNÉES'!I2:I137)*('[1]BASE DONNÉES'!H2:H137)*('[1]BASE DONNÉES'!I2:I137))</f>
        <v>39834100</v>
      </c>
      <c r="F25" s="31">
        <f>COUNTIFS('[1]BASE DONNÉES'!D:D,"Institutional",'[1]BASE DONNÉES'!O:O,"HIGH")</f>
        <v>1</v>
      </c>
      <c r="H25" s="60" t="s">
        <v>45</v>
      </c>
      <c r="I25" s="61" t="s">
        <v>39</v>
      </c>
      <c r="J25" s="31">
        <v>6</v>
      </c>
      <c r="K25" s="32">
        <v>49588208.381760001</v>
      </c>
      <c r="L25" s="32">
        <v>7564641.4079999998</v>
      </c>
      <c r="M25" s="33">
        <v>7.8273565216525301E-2</v>
      </c>
      <c r="N25" s="29"/>
    </row>
    <row r="26" spans="1:14" ht="15" customHeight="1" x14ac:dyDescent="0.3">
      <c r="A26" s="20" t="s">
        <v>46</v>
      </c>
      <c r="B26" s="21">
        <f>COUNTIFS('[1]BASE DONNÉES'!D:D,"Industrial &amp; Logistics",'[1]BASE DONNÉES'!L:L,"&lt;&gt;Perdu")</f>
        <v>3</v>
      </c>
      <c r="C26" s="22">
        <f>SUMIFS('[1]BASE DONNÉES'!H:H,'[1]BASE DONNÉES'!D:D,"Industrial &amp; Logistics",'[1]BASE DONNÉES'!L:L,"&lt;&gt;Perdu")</f>
        <v>5504514.0800000001</v>
      </c>
      <c r="D26" s="23">
        <f>IFERROR(SUMIFS('[1]BASE DONNÉES'!H:H,'[1]BASE DONNÉES'!D:D,"Industrial &amp; Logistics",'[1]BASE DONNÉES'!L:L,"&lt;&gt;Perdu")/SUMIF('[1]BASE DONNÉES'!L:L,"&lt;&gt;Perdu",'[1]BASE DONNÉES'!H:H),0)</f>
        <v>7.6063973414491025E-3</v>
      </c>
      <c r="E26" s="22">
        <f>SUMPRODUCT(('[1]BASE DONNÉES'!D2:D137="Industrial &amp; Logistics")*('[1]BASE DONNÉES'!L2:L137&lt;&gt;"Perdu")*('[1]BASE DONNÉES'!L2:L137&lt;&gt;"")*ISNUMBER('[1]BASE DONNÉES'!H2:H137)*ISNUMBER('[1]BASE DONNÉES'!I2:I137)*('[1]BASE DONNÉES'!H2:H137)*('[1]BASE DONNÉES'!I2:I137))</f>
        <v>1752257.04</v>
      </c>
      <c r="F26" s="21">
        <f>COUNTIFS('[1]BASE DONNÉES'!D:D,"Industrial &amp; Logistics",'[1]BASE DONNÉES'!O:O,"HIGH")</f>
        <v>0</v>
      </c>
      <c r="H26" s="58" t="s">
        <v>47</v>
      </c>
      <c r="I26" s="59" t="s">
        <v>39</v>
      </c>
      <c r="J26" s="21">
        <v>11</v>
      </c>
      <c r="K26" s="22">
        <v>40525000</v>
      </c>
      <c r="L26" s="22">
        <v>10325100</v>
      </c>
      <c r="M26" s="23">
        <v>6.3967550631783901E-2</v>
      </c>
      <c r="N26" s="29"/>
    </row>
    <row r="27" spans="1:14" ht="15" customHeight="1" x14ac:dyDescent="0.3">
      <c r="H27" s="60" t="s">
        <v>48</v>
      </c>
      <c r="I27" s="61" t="s">
        <v>39</v>
      </c>
      <c r="J27" s="31">
        <v>1</v>
      </c>
      <c r="K27" s="32">
        <v>35000000</v>
      </c>
      <c r="L27" s="32">
        <v>17500000</v>
      </c>
      <c r="M27" s="33">
        <v>5.5246496535778802E-2</v>
      </c>
      <c r="N27" s="29"/>
    </row>
    <row r="28" spans="1:14" ht="15" customHeight="1" x14ac:dyDescent="0.3">
      <c r="H28" s="58" t="s">
        <v>49</v>
      </c>
      <c r="I28" s="59" t="s">
        <v>39</v>
      </c>
      <c r="J28" s="21">
        <v>1</v>
      </c>
      <c r="K28" s="22">
        <v>30102294</v>
      </c>
      <c r="L28" s="22">
        <v>3010229.4</v>
      </c>
      <c r="M28" s="23">
        <v>4.7515608033999901E-2</v>
      </c>
      <c r="N28" s="29"/>
    </row>
    <row r="29" spans="1:14" ht="15" customHeight="1" x14ac:dyDescent="0.3">
      <c r="H29" s="60" t="s">
        <v>50</v>
      </c>
      <c r="I29" s="61" t="s">
        <v>39</v>
      </c>
      <c r="J29" s="31">
        <v>8</v>
      </c>
      <c r="K29" s="32">
        <v>25540700</v>
      </c>
      <c r="L29" s="32">
        <v>2554070</v>
      </c>
      <c r="M29" s="33">
        <v>4.0315262687753303E-2</v>
      </c>
      <c r="N29" s="29"/>
    </row>
    <row r="30" spans="1:14" ht="15" customHeight="1" x14ac:dyDescent="0.3">
      <c r="H30" s="58" t="s">
        <v>51</v>
      </c>
      <c r="I30" s="59" t="s">
        <v>39</v>
      </c>
      <c r="J30" s="21">
        <v>1</v>
      </c>
      <c r="K30" s="22">
        <v>13000000</v>
      </c>
      <c r="L30" s="22">
        <v>1300000</v>
      </c>
      <c r="M30" s="23">
        <v>2.0520127284717901E-2</v>
      </c>
      <c r="N30" s="29"/>
    </row>
    <row r="31" spans="1:14" ht="15" customHeight="1" x14ac:dyDescent="0.3">
      <c r="H31" s="60" t="s">
        <v>52</v>
      </c>
      <c r="I31" s="61" t="s">
        <v>39</v>
      </c>
      <c r="J31" s="31">
        <v>4</v>
      </c>
      <c r="K31" s="32">
        <v>10500000</v>
      </c>
      <c r="L31" s="32">
        <v>2250000</v>
      </c>
      <c r="M31" s="33">
        <v>1.6573948960733699E-2</v>
      </c>
      <c r="N31" s="29"/>
    </row>
    <row r="32" spans="1:14" ht="12" customHeight="1" x14ac:dyDescent="0.3"/>
    <row r="33" spans="1:14" ht="21.75" customHeight="1" x14ac:dyDescent="0.3">
      <c r="A33" s="18" t="s">
        <v>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9.5" customHeight="1" x14ac:dyDescent="0.3">
      <c r="A34" s="19" t="s">
        <v>9</v>
      </c>
      <c r="B34" s="19" t="s">
        <v>54</v>
      </c>
      <c r="C34" s="19" t="s">
        <v>55</v>
      </c>
      <c r="D34" s="19" t="s">
        <v>34</v>
      </c>
      <c r="E34" s="19" t="s">
        <v>35</v>
      </c>
      <c r="F34" s="19" t="s">
        <v>15</v>
      </c>
      <c r="G34" s="19" t="s">
        <v>56</v>
      </c>
      <c r="H34" s="19" t="s">
        <v>11</v>
      </c>
      <c r="I34" s="19" t="s">
        <v>13</v>
      </c>
      <c r="J34" s="19" t="s">
        <v>57</v>
      </c>
      <c r="K34" s="19" t="s">
        <v>58</v>
      </c>
    </row>
    <row r="35" spans="1:14" ht="15" customHeight="1" x14ac:dyDescent="0.3">
      <c r="A35" s="62" t="s">
        <v>19</v>
      </c>
      <c r="B35" s="63" t="s">
        <v>59</v>
      </c>
      <c r="C35" s="62" t="s">
        <v>60</v>
      </c>
      <c r="D35" s="63" t="s">
        <v>61</v>
      </c>
      <c r="E35" s="63" t="s">
        <v>48</v>
      </c>
      <c r="F35" s="63" t="s">
        <v>22</v>
      </c>
      <c r="G35" s="64">
        <v>0.5</v>
      </c>
      <c r="H35" s="65">
        <v>35000000</v>
      </c>
      <c r="I35" s="65">
        <v>17500000</v>
      </c>
      <c r="J35" s="66" t="s">
        <v>62</v>
      </c>
      <c r="K35" s="66" t="s">
        <v>63</v>
      </c>
    </row>
    <row r="36" spans="1:14" ht="15" customHeight="1" x14ac:dyDescent="0.3">
      <c r="A36" s="67" t="s">
        <v>27</v>
      </c>
      <c r="B36" s="68" t="s">
        <v>64</v>
      </c>
      <c r="C36" s="67" t="s">
        <v>65</v>
      </c>
      <c r="D36" s="68" t="s">
        <v>66</v>
      </c>
      <c r="E36" s="68" t="s">
        <v>38</v>
      </c>
      <c r="F36" s="68" t="s">
        <v>22</v>
      </c>
      <c r="G36" s="69">
        <v>0.8</v>
      </c>
      <c r="H36" s="70">
        <v>18056750</v>
      </c>
      <c r="I36" s="70">
        <v>14445400</v>
      </c>
      <c r="J36" s="71" t="s">
        <v>67</v>
      </c>
      <c r="K36" s="72" t="s">
        <v>63</v>
      </c>
    </row>
    <row r="37" spans="1:14" ht="15" customHeight="1" x14ac:dyDescent="0.3">
      <c r="A37" s="62" t="s">
        <v>21</v>
      </c>
      <c r="B37" s="63" t="s">
        <v>68</v>
      </c>
      <c r="C37" s="62" t="s">
        <v>69</v>
      </c>
      <c r="D37" s="63" t="s">
        <v>66</v>
      </c>
      <c r="E37" s="63" t="s">
        <v>41</v>
      </c>
      <c r="F37" s="63" t="s">
        <v>20</v>
      </c>
      <c r="G37" s="64">
        <v>0.5</v>
      </c>
      <c r="H37" s="65">
        <v>26451761</v>
      </c>
      <c r="I37" s="65">
        <v>13225880.5</v>
      </c>
      <c r="J37" s="66" t="s">
        <v>62</v>
      </c>
      <c r="K37" s="66" t="s">
        <v>63</v>
      </c>
    </row>
    <row r="38" spans="1:14" ht="15" customHeight="1" x14ac:dyDescent="0.3">
      <c r="A38" s="73" t="s">
        <v>21</v>
      </c>
      <c r="B38" s="74" t="s">
        <v>70</v>
      </c>
      <c r="C38" s="73" t="s">
        <v>71</v>
      </c>
      <c r="D38" s="74" t="s">
        <v>72</v>
      </c>
      <c r="E38" s="74" t="s">
        <v>41</v>
      </c>
      <c r="F38" s="74" t="s">
        <v>20</v>
      </c>
      <c r="G38" s="75">
        <v>0.8</v>
      </c>
      <c r="H38" s="76">
        <v>11775700</v>
      </c>
      <c r="I38" s="76">
        <v>9420560</v>
      </c>
      <c r="J38" s="77" t="s">
        <v>67</v>
      </c>
      <c r="K38" s="78" t="s">
        <v>73</v>
      </c>
    </row>
    <row r="39" spans="1:14" ht="15" customHeight="1" x14ac:dyDescent="0.3">
      <c r="A39" s="73" t="s">
        <v>21</v>
      </c>
      <c r="B39" s="74" t="s">
        <v>74</v>
      </c>
      <c r="C39" s="73" t="s">
        <v>75</v>
      </c>
      <c r="D39" s="74" t="s">
        <v>72</v>
      </c>
      <c r="E39" s="74" t="s">
        <v>41</v>
      </c>
      <c r="F39" s="74" t="s">
        <v>20</v>
      </c>
      <c r="G39" s="75">
        <v>0.8</v>
      </c>
      <c r="H39" s="76">
        <v>7120000</v>
      </c>
      <c r="I39" s="76">
        <v>5696000</v>
      </c>
      <c r="J39" s="79" t="s">
        <v>62</v>
      </c>
      <c r="K39" s="78" t="s">
        <v>73</v>
      </c>
    </row>
    <row r="40" spans="1:14" ht="15" customHeight="1" x14ac:dyDescent="0.3">
      <c r="A40" s="73" t="s">
        <v>21</v>
      </c>
      <c r="B40" s="74" t="s">
        <v>76</v>
      </c>
      <c r="C40" s="73" t="s">
        <v>77</v>
      </c>
      <c r="D40" s="74" t="s">
        <v>9</v>
      </c>
      <c r="E40" s="74" t="s">
        <v>38</v>
      </c>
      <c r="F40" s="74" t="s">
        <v>20</v>
      </c>
      <c r="G40" s="75">
        <v>0.8</v>
      </c>
      <c r="H40" s="76">
        <v>5700000</v>
      </c>
      <c r="I40" s="76">
        <v>4560000</v>
      </c>
      <c r="J40" s="79" t="s">
        <v>62</v>
      </c>
      <c r="K40" s="78" t="s">
        <v>73</v>
      </c>
    </row>
    <row r="41" spans="1:14" ht="15" customHeight="1" x14ac:dyDescent="0.3">
      <c r="A41" s="73" t="s">
        <v>21</v>
      </c>
      <c r="B41" s="74" t="s">
        <v>74</v>
      </c>
      <c r="C41" s="73" t="s">
        <v>78</v>
      </c>
      <c r="D41" s="74" t="s">
        <v>72</v>
      </c>
      <c r="E41" s="74" t="s">
        <v>41</v>
      </c>
      <c r="F41" s="74" t="s">
        <v>20</v>
      </c>
      <c r="G41" s="75">
        <v>0.8</v>
      </c>
      <c r="H41" s="76">
        <v>5340000</v>
      </c>
      <c r="I41" s="76">
        <v>4272000</v>
      </c>
      <c r="J41" s="79" t="s">
        <v>62</v>
      </c>
      <c r="K41" s="78" t="s">
        <v>73</v>
      </c>
    </row>
    <row r="42" spans="1:14" ht="15" customHeight="1" x14ac:dyDescent="0.3">
      <c r="A42" s="73" t="s">
        <v>25</v>
      </c>
      <c r="B42" s="74" t="s">
        <v>79</v>
      </c>
      <c r="C42" s="73" t="s">
        <v>80</v>
      </c>
      <c r="D42" s="74" t="s">
        <v>72</v>
      </c>
      <c r="E42" s="74" t="s">
        <v>38</v>
      </c>
      <c r="F42" s="74" t="s">
        <v>20</v>
      </c>
      <c r="G42" s="75">
        <v>0.8</v>
      </c>
      <c r="H42" s="76">
        <v>5000000</v>
      </c>
      <c r="I42" s="76">
        <v>4000000</v>
      </c>
      <c r="J42" s="79" t="s">
        <v>62</v>
      </c>
      <c r="K42" s="78" t="s">
        <v>73</v>
      </c>
    </row>
    <row r="43" spans="1:14" ht="15" customHeight="1" x14ac:dyDescent="0.3">
      <c r="A43" s="62" t="s">
        <v>21</v>
      </c>
      <c r="B43" s="63" t="s">
        <v>81</v>
      </c>
      <c r="C43" s="62" t="s">
        <v>82</v>
      </c>
      <c r="D43" s="63" t="s">
        <v>72</v>
      </c>
      <c r="E43" s="63" t="s">
        <v>47</v>
      </c>
      <c r="F43" s="63" t="s">
        <v>20</v>
      </c>
      <c r="G43" s="64">
        <v>0.5</v>
      </c>
      <c r="H43" s="65">
        <v>8000000</v>
      </c>
      <c r="I43" s="65">
        <v>4000000</v>
      </c>
      <c r="J43" s="66" t="s">
        <v>62</v>
      </c>
      <c r="K43" s="66" t="s">
        <v>63</v>
      </c>
    </row>
    <row r="44" spans="1:14" ht="15" customHeight="1" x14ac:dyDescent="0.3">
      <c r="A44" s="73" t="s">
        <v>21</v>
      </c>
      <c r="B44" s="74" t="s">
        <v>83</v>
      </c>
      <c r="C44" s="73" t="s">
        <v>84</v>
      </c>
      <c r="D44" s="74" t="s">
        <v>72</v>
      </c>
      <c r="E44" s="74" t="s">
        <v>38</v>
      </c>
      <c r="F44" s="74" t="s">
        <v>20</v>
      </c>
      <c r="G44" s="75">
        <v>0.8</v>
      </c>
      <c r="H44" s="76">
        <v>4850000</v>
      </c>
      <c r="I44" s="76">
        <v>3880000</v>
      </c>
      <c r="J44" s="79" t="s">
        <v>62</v>
      </c>
      <c r="K44" s="78" t="s">
        <v>73</v>
      </c>
    </row>
    <row r="45" spans="1:14" ht="12" customHeight="1" x14ac:dyDescent="0.3"/>
    <row r="46" spans="1:14" ht="21.75" customHeight="1" x14ac:dyDescent="0.3">
      <c r="A46" s="18" t="s">
        <v>85</v>
      </c>
      <c r="B46" s="2"/>
      <c r="C46" s="2"/>
      <c r="D46" s="2"/>
      <c r="E46" s="2"/>
      <c r="G46" s="18" t="s">
        <v>86</v>
      </c>
      <c r="H46" s="2"/>
      <c r="I46" s="2"/>
      <c r="J46" s="2"/>
      <c r="K46" s="2"/>
      <c r="L46" s="2"/>
      <c r="M46" s="2"/>
      <c r="N46" s="2"/>
    </row>
    <row r="47" spans="1:14" ht="19.5" customHeight="1" x14ac:dyDescent="0.3">
      <c r="A47" s="19" t="s">
        <v>9</v>
      </c>
      <c r="B47" s="19" t="s">
        <v>12</v>
      </c>
      <c r="C47" s="19" t="s">
        <v>11</v>
      </c>
      <c r="D47" s="19" t="s">
        <v>87</v>
      </c>
      <c r="E47" s="19" t="s">
        <v>88</v>
      </c>
      <c r="G47" s="19" t="s">
        <v>9</v>
      </c>
      <c r="H47" s="19" t="s">
        <v>54</v>
      </c>
      <c r="I47" s="19" t="s">
        <v>55</v>
      </c>
      <c r="J47" s="19" t="s">
        <v>89</v>
      </c>
    </row>
    <row r="48" spans="1:14" ht="12.75" customHeight="1" x14ac:dyDescent="0.3">
      <c r="A48" s="80" t="s">
        <v>19</v>
      </c>
      <c r="B48" s="81">
        <v>0.25997422798407899</v>
      </c>
      <c r="C48" s="82">
        <v>164700000</v>
      </c>
      <c r="D48" s="83" t="s">
        <v>90</v>
      </c>
      <c r="E48" s="84" t="s">
        <v>91</v>
      </c>
      <c r="G48" s="85" t="s">
        <v>21</v>
      </c>
      <c r="H48" s="85" t="s">
        <v>76</v>
      </c>
      <c r="I48" s="85" t="s">
        <v>92</v>
      </c>
      <c r="J48" s="86" t="s">
        <v>73</v>
      </c>
    </row>
    <row r="49" spans="1:10" ht="12.75" customHeight="1" x14ac:dyDescent="0.3">
      <c r="A49" s="87" t="s">
        <v>21</v>
      </c>
      <c r="B49" s="88">
        <v>0.625502376547174</v>
      </c>
      <c r="C49" s="89">
        <v>396270977.38176</v>
      </c>
      <c r="D49" s="90"/>
      <c r="E49" s="91" t="s">
        <v>93</v>
      </c>
      <c r="G49" s="85" t="s">
        <v>21</v>
      </c>
      <c r="H49" s="85" t="s">
        <v>83</v>
      </c>
      <c r="I49" s="85" t="s">
        <v>84</v>
      </c>
      <c r="J49" s="86" t="s">
        <v>73</v>
      </c>
    </row>
    <row r="50" spans="1:10" ht="12.75" customHeight="1" x14ac:dyDescent="0.3">
      <c r="A50" s="80" t="s">
        <v>23</v>
      </c>
      <c r="B50" s="81">
        <v>4.3849933536112502E-2</v>
      </c>
      <c r="C50" s="82">
        <v>27780000</v>
      </c>
      <c r="D50" s="83" t="s">
        <v>90</v>
      </c>
      <c r="E50" s="84" t="s">
        <v>94</v>
      </c>
      <c r="G50" s="85" t="s">
        <v>21</v>
      </c>
      <c r="H50" s="85" t="s">
        <v>95</v>
      </c>
      <c r="I50" s="85" t="s">
        <v>96</v>
      </c>
      <c r="J50" s="86" t="s">
        <v>97</v>
      </c>
    </row>
    <row r="51" spans="1:10" ht="12.75" customHeight="1" x14ac:dyDescent="0.3">
      <c r="A51" s="80" t="s">
        <v>25</v>
      </c>
      <c r="B51" s="81">
        <v>9.9885665736688199E-3</v>
      </c>
      <c r="C51" s="82">
        <v>6328000</v>
      </c>
      <c r="D51" s="83" t="s">
        <v>90</v>
      </c>
      <c r="E51" s="84" t="s">
        <v>94</v>
      </c>
      <c r="G51" s="85" t="s">
        <v>21</v>
      </c>
      <c r="H51" s="85" t="s">
        <v>76</v>
      </c>
      <c r="I51" s="85" t="s">
        <v>98</v>
      </c>
      <c r="J51" s="86" t="s">
        <v>99</v>
      </c>
    </row>
    <row r="52" spans="1:10" ht="12.75" customHeight="1" x14ac:dyDescent="0.3">
      <c r="A52" s="80" t="s">
        <v>27</v>
      </c>
      <c r="B52" s="81">
        <v>4.3504750268814299E-2</v>
      </c>
      <c r="C52" s="82">
        <v>27561318</v>
      </c>
      <c r="D52" s="83" t="s">
        <v>90</v>
      </c>
      <c r="E52" s="84" t="s">
        <v>94</v>
      </c>
      <c r="G52" s="85" t="s">
        <v>21</v>
      </c>
      <c r="H52" s="85" t="s">
        <v>74</v>
      </c>
      <c r="I52" s="85" t="s">
        <v>78</v>
      </c>
      <c r="J52" s="86" t="s">
        <v>73</v>
      </c>
    </row>
    <row r="53" spans="1:10" ht="12.75" customHeight="1" x14ac:dyDescent="0.3">
      <c r="A53" s="80" t="s">
        <v>29</v>
      </c>
      <c r="B53" s="81">
        <v>1.7180145090150801E-2</v>
      </c>
      <c r="C53" s="82">
        <v>10884040</v>
      </c>
      <c r="D53" s="83" t="s">
        <v>90</v>
      </c>
      <c r="E53" s="84" t="s">
        <v>94</v>
      </c>
      <c r="G53" s="85" t="s">
        <v>21</v>
      </c>
      <c r="H53" s="85" t="s">
        <v>74</v>
      </c>
      <c r="I53" s="85" t="s">
        <v>75</v>
      </c>
      <c r="J53" s="86" t="s">
        <v>73</v>
      </c>
    </row>
    <row r="54" spans="1:10" ht="12.75" customHeight="1" x14ac:dyDescent="0.3">
      <c r="G54" s="85" t="s">
        <v>21</v>
      </c>
      <c r="H54" s="85" t="s">
        <v>100</v>
      </c>
      <c r="I54" s="85" t="s">
        <v>101</v>
      </c>
      <c r="J54" s="86" t="s">
        <v>73</v>
      </c>
    </row>
    <row r="55" spans="1:10" ht="12.75" customHeight="1" x14ac:dyDescent="0.3">
      <c r="G55" s="85" t="s">
        <v>21</v>
      </c>
      <c r="H55" s="85" t="s">
        <v>70</v>
      </c>
      <c r="I55" s="85" t="s">
        <v>71</v>
      </c>
      <c r="J55" s="86" t="s">
        <v>73</v>
      </c>
    </row>
    <row r="56" spans="1:10" ht="12.75" customHeight="1" x14ac:dyDescent="0.3">
      <c r="G56" s="85" t="s">
        <v>21</v>
      </c>
      <c r="H56" s="85" t="s">
        <v>102</v>
      </c>
      <c r="I56" s="85" t="s">
        <v>103</v>
      </c>
      <c r="J56" s="86" t="s">
        <v>104</v>
      </c>
    </row>
    <row r="57" spans="1:10" ht="12.75" customHeight="1" x14ac:dyDescent="0.3">
      <c r="G57" s="85" t="s">
        <v>21</v>
      </c>
      <c r="H57" s="85" t="s">
        <v>102</v>
      </c>
      <c r="I57" s="85" t="s">
        <v>105</v>
      </c>
      <c r="J57" s="86" t="s">
        <v>104</v>
      </c>
    </row>
    <row r="58" spans="1:10" ht="12.75" customHeight="1" x14ac:dyDescent="0.3">
      <c r="G58" s="85" t="s">
        <v>21</v>
      </c>
      <c r="H58" s="85" t="s">
        <v>102</v>
      </c>
      <c r="I58" s="85" t="s">
        <v>106</v>
      </c>
      <c r="J58" s="86" t="s">
        <v>73</v>
      </c>
    </row>
    <row r="59" spans="1:10" ht="12.75" customHeight="1" x14ac:dyDescent="0.3">
      <c r="G59" s="85" t="s">
        <v>21</v>
      </c>
      <c r="H59" s="85" t="s">
        <v>81</v>
      </c>
      <c r="I59" s="85" t="s">
        <v>107</v>
      </c>
      <c r="J59" s="86" t="s">
        <v>73</v>
      </c>
    </row>
    <row r="60" spans="1:10" ht="12.75" customHeight="1" x14ac:dyDescent="0.3">
      <c r="G60" s="85" t="s">
        <v>21</v>
      </c>
      <c r="H60" s="85" t="s">
        <v>81</v>
      </c>
      <c r="I60" s="85" t="s">
        <v>108</v>
      </c>
      <c r="J60" s="86" t="s">
        <v>73</v>
      </c>
    </row>
    <row r="61" spans="1:10" ht="12.75" customHeight="1" x14ac:dyDescent="0.3">
      <c r="G61" s="85" t="s">
        <v>21</v>
      </c>
      <c r="H61" s="85" t="s">
        <v>76</v>
      </c>
      <c r="I61" s="85" t="s">
        <v>77</v>
      </c>
      <c r="J61" s="86" t="s">
        <v>73</v>
      </c>
    </row>
    <row r="62" spans="1:10" ht="12.75" customHeight="1" x14ac:dyDescent="0.3">
      <c r="G62" s="85" t="s">
        <v>21</v>
      </c>
      <c r="H62" s="85" t="s">
        <v>109</v>
      </c>
      <c r="I62" s="85" t="s">
        <v>110</v>
      </c>
      <c r="J62" s="86" t="s">
        <v>73</v>
      </c>
    </row>
    <row r="63" spans="1:10" ht="12.75" customHeight="1" x14ac:dyDescent="0.3">
      <c r="G63" s="85" t="s">
        <v>29</v>
      </c>
      <c r="H63" s="85" t="s">
        <v>111</v>
      </c>
      <c r="I63" s="85" t="s">
        <v>112</v>
      </c>
      <c r="J63" s="86" t="s">
        <v>113</v>
      </c>
    </row>
    <row r="64" spans="1:10" ht="12.75" customHeight="1" x14ac:dyDescent="0.3">
      <c r="G64" s="85" t="s">
        <v>25</v>
      </c>
      <c r="H64" s="85" t="s">
        <v>79</v>
      </c>
      <c r="I64" s="85" t="s">
        <v>80</v>
      </c>
      <c r="J64" s="86" t="s">
        <v>73</v>
      </c>
    </row>
    <row r="65" spans="1:13" ht="12.75" customHeight="1" x14ac:dyDescent="0.3">
      <c r="G65" s="74" t="s">
        <v>27</v>
      </c>
      <c r="H65" s="74" t="s">
        <v>114</v>
      </c>
      <c r="I65" s="74" t="s">
        <v>115</v>
      </c>
      <c r="J65" s="92" t="s">
        <v>116</v>
      </c>
    </row>
    <row r="66" spans="1:13" ht="12.75" customHeight="1" x14ac:dyDescent="0.3">
      <c r="G66" s="74" t="s">
        <v>27</v>
      </c>
      <c r="H66" s="74" t="s">
        <v>114</v>
      </c>
      <c r="I66" s="74" t="s">
        <v>117</v>
      </c>
      <c r="J66" s="92" t="s">
        <v>116</v>
      </c>
    </row>
    <row r="67" spans="1:13" ht="12.75" customHeight="1" x14ac:dyDescent="0.3">
      <c r="G67" s="85" t="s">
        <v>23</v>
      </c>
      <c r="H67" s="85" t="s">
        <v>118</v>
      </c>
      <c r="I67" s="85" t="s">
        <v>119</v>
      </c>
      <c r="J67" s="86" t="s">
        <v>73</v>
      </c>
    </row>
    <row r="68" spans="1:13" ht="7.5" customHeight="1" x14ac:dyDescent="0.3"/>
    <row r="69" spans="1:13" ht="7.5" customHeight="1" x14ac:dyDescent="0.3"/>
    <row r="70" spans="1:13" ht="21.75" customHeight="1" x14ac:dyDescent="0.3">
      <c r="A70" s="18" t="s">
        <v>120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9.5" customHeight="1" x14ac:dyDescent="0.3">
      <c r="A71" s="93" t="s">
        <v>121</v>
      </c>
      <c r="B71" s="93" t="s">
        <v>122</v>
      </c>
      <c r="C71" s="93" t="s">
        <v>11</v>
      </c>
      <c r="D71" s="93" t="s">
        <v>12</v>
      </c>
      <c r="E71" s="93" t="s">
        <v>13</v>
      </c>
      <c r="F71" s="93" t="s">
        <v>123</v>
      </c>
    </row>
    <row r="72" spans="1:13" ht="15" customHeight="1" x14ac:dyDescent="0.3">
      <c r="A72" s="94" t="s">
        <v>124</v>
      </c>
      <c r="B72" s="40">
        <f>COUNTIFS('[1]BASE DONNÉES'!R2:R137,"0-30 jours",'[1]BASE DONNÉES'!L2:L137,"&lt;&gt;Perdu",'[1]BASE DONNÉES'!A2:A137,"&lt;&gt;")</f>
        <v>0</v>
      </c>
      <c r="C72" s="41">
        <f>SUMIFS('[1]BASE DONNÉES'!H2:H137,'[1]BASE DONNÉES'!R2:R137,"0-30 jours",'[1]BASE DONNÉES'!L2:L137,"&lt;&gt;Perdu")</f>
        <v>0</v>
      </c>
      <c r="D72" s="42">
        <f>IFERROR(SUMIFS('[1]BASE DONNÉES'!H2:H137,'[1]BASE DONNÉES'!R2:R137,"0-30 jours",'[1]BASE DONNÉES'!L2:L137,"&lt;&gt;Perdu")/SUMIF('[1]BASE DONNÉES'!L2:L137,"&lt;&gt;Perdu",'[1]BASE DONNÉES'!H2:H137),0)</f>
        <v>0</v>
      </c>
      <c r="E72" s="41">
        <f>SUMPRODUCT(('[1]BASE DONNÉES'!R2:R137="0-30 jours")*('[1]BASE DONNÉES'!L2:L137&lt;&gt;"Perdu")*ISNUMBER('[1]BASE DONNÉES'!H2:H137)*ISNUMBER('[1]BASE DONNÉES'!I2:I137)*('[1]BASE DONNÉES'!H2:H137)*('[1]BASE DONNÉES'!I2:I137))</f>
        <v>0</v>
      </c>
      <c r="F72" s="42">
        <f>IFERROR(SUMPRODUCT(('[1]BASE DONNÉES'!R2:R137="0-30 jours")*('[1]BASE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</row>
    <row r="73" spans="1:13" ht="15" customHeight="1" x14ac:dyDescent="0.3">
      <c r="A73" s="95" t="s">
        <v>125</v>
      </c>
      <c r="B73" s="25">
        <f>COUNTIFS('[1]BASE DONNÉES'!R2:R137,"30-90 jours",'[1]BASE DONNÉES'!L2:L137,"&lt;&gt;Perdu",'[1]BASE DONNÉES'!A2:A137,"&lt;&gt;")</f>
        <v>0</v>
      </c>
      <c r="C73" s="26">
        <f>SUMIFS('[1]BASE DONNÉES'!H2:H137,'[1]BASE DONNÉES'!R2:R137,"30-90 jours",'[1]BASE DONNÉES'!L2:L137,"&lt;&gt;Perdu")</f>
        <v>0</v>
      </c>
      <c r="D73" s="27">
        <f>IFERROR(SUMIFS('[1]BASE DONNÉES'!H2:H137,'[1]BASE DONNÉES'!R2:R137,"30-90 jours",'[1]BASE DONNÉES'!L2:L137,"&lt;&gt;Perdu")/SUMIF('[1]BASE DONNÉES'!L2:L137,"&lt;&gt;Perdu",'[1]BASE DONNÉES'!H2:H137),0)</f>
        <v>0</v>
      </c>
      <c r="E73" s="26">
        <f>SUMPRODUCT(('[1]BASE DONNÉES'!R2:R137="30-90 jours")*('[1]BASE DONNÉES'!L2:L137&lt;&gt;"Perdu")*ISNUMBER('[1]BASE DONNÉES'!H2:H137)*ISNUMBER('[1]BASE DONNÉES'!I2:I137)*('[1]BASE DONNÉES'!H2:H137)*('[1]BASE DONNÉES'!I2:I137))</f>
        <v>0</v>
      </c>
      <c r="F73" s="27">
        <f>IFERROR(SUMPRODUCT(('[1]BASE DONNÉES'!R2:R137="30-90 jours")*('[1]BASE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</row>
    <row r="74" spans="1:13" ht="15" customHeight="1" x14ac:dyDescent="0.3">
      <c r="A74" s="96" t="s">
        <v>126</v>
      </c>
      <c r="B74" s="97">
        <f>COUNTIFS('[1]BASE DONNÉES'!R2:R137,"+90 jours",'[1]BASE DONNÉES'!L2:L137,"&lt;&gt;Perdu",'[1]BASE DONNÉES'!A2:A137,"&lt;&gt;")</f>
        <v>0</v>
      </c>
      <c r="C74" s="98">
        <f>SUMIFS('[1]BASE DONNÉES'!H2:H137,'[1]BASE DONNÉES'!R2:R137,"+90 jours",'[1]BASE DONNÉES'!L2:L137,"&lt;&gt;Perdu")</f>
        <v>0</v>
      </c>
      <c r="D74" s="99">
        <f>IFERROR(SUMIFS('[1]BASE DONNÉES'!H2:H137,'[1]BASE DONNÉES'!R2:R137,"+90 jours",'[1]BASE DONNÉES'!L2:L137,"&lt;&gt;Perdu")/SUMIF('[1]BASE DONNÉES'!L2:L137,"&lt;&gt;Perdu",'[1]BASE DONNÉES'!H2:H137),0)</f>
        <v>0</v>
      </c>
      <c r="E74" s="98">
        <f>SUMPRODUCT(('[1]BASE DONNÉES'!R2:R137="+90 jours")*('[1]BASE DONNÉES'!L2:L137&lt;&gt;"Perdu")*ISNUMBER('[1]BASE DONNÉES'!H2:H137)*ISNUMBER('[1]BASE DONNÉES'!I2:I137)*('[1]BASE DONNÉES'!H2:H137)*('[1]BASE DONNÉES'!I2:I137))</f>
        <v>0</v>
      </c>
      <c r="F74" s="99">
        <f>IFERROR(SUMPRODUCT(('[1]BASE DONNÉES'!R2:R137="+90 jours")*('[1]BASE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</row>
    <row r="75" spans="1:13" ht="15" customHeight="1" x14ac:dyDescent="0.3">
      <c r="A75" s="100" t="s">
        <v>127</v>
      </c>
      <c r="B75" s="50">
        <f>COUNTIFS('[1]BASE DONNÉES'!R2:R137,"Dépassé",'[1]BASE DONNÉES'!L2:L137,"&lt;&gt;Perdu",'[1]BASE DONNÉES'!A2:A137,"&lt;&gt;")</f>
        <v>124</v>
      </c>
      <c r="C75" s="51">
        <f>SUMIFS('[1]BASE DONNÉES'!H2:H137,'[1]BASE DONNÉES'!R2:R137,"Dépassé",'[1]BASE DONNÉES'!L2:L137,"&lt;&gt;Perdu")</f>
        <v>676316016.08000004</v>
      </c>
      <c r="D75" s="52">
        <f>IFERROR(SUMIFS('[1]BASE DONNÉES'!H2:H137,'[1]BASE DONNÉES'!R2:R137,"Dépassé",'[1]BASE DONNÉES'!L2:L137,"&lt;&gt;Perdu")/SUMIF('[1]BASE DONNÉES'!L2:L137,"&lt;&gt;Perdu",'[1]BASE DONNÉES'!H2:H137),0)</f>
        <v>0.96441736419572055</v>
      </c>
      <c r="E75" s="51">
        <f>SUMPRODUCT(('[1]BASE DONNÉES'!R2:R137="Dépassé")*('[1]BASE DONNÉES'!L2:L137&lt;&gt;"Perdu")*ISNUMBER('[1]BASE DONNÉES'!H2:H137)*ISNUMBER('[1]BASE DONNÉES'!I2:I137)*('[1]BASE DONNÉES'!H2:H137)*('[1]BASE DONNÉES'!I2:I137))</f>
        <v>240548818.44</v>
      </c>
      <c r="F75" s="52">
        <f>IFERROR(SUMPRODUCT(('[1]BASE DONNÉES'!R2:R137="Dépassé")*('[1]BASE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0.94812390729345697</v>
      </c>
    </row>
    <row r="76" spans="1:13" ht="15" customHeight="1" x14ac:dyDescent="0.3">
      <c r="A76" s="101" t="s">
        <v>128</v>
      </c>
      <c r="B76" s="21">
        <f>COUNTIFS('[1]BASE DONNÉES'!R2:R137,"Non renseigné",'[1]BASE DONNÉES'!L2:L137,"&lt;&gt;Perdu",'[1]BASE DONNÉES'!A2:A137,"&lt;&gt;")</f>
        <v>0</v>
      </c>
      <c r="C76" s="22">
        <f>SUMIFS('[1]BASE DONNÉES'!H2:H137,'[1]BASE DONNÉES'!R2:R137,"Non renseigné",'[1]BASE DONNÉES'!L2:L137,"&lt;&gt;Perdu")</f>
        <v>0</v>
      </c>
      <c r="D76" s="23">
        <f>IFERROR(SUMIFS('[1]BASE DONNÉES'!H2:H137,'[1]BASE DONNÉES'!R2:R137,"Non renseigné",'[1]BASE DONNÉES'!L2:L137,"&lt;&gt;Perdu")/SUMIF('[1]BASE DONNÉES'!L2:L137,"&lt;&gt;Perdu",'[1]BASE DONNÉES'!H2:H137),0)</f>
        <v>0</v>
      </c>
      <c r="E76" s="22">
        <f>SUMPRODUCT(('[1]BASE DONNÉES'!R2:R137="Non renseigné")*('[1]BASE DONNÉES'!L2:L137&lt;&gt;"Perdu")*ISNUMBER('[1]BASE DONNÉES'!H2:H137)*ISNUMBER('[1]BASE DONNÉES'!I2:I137)*('[1]BASE DONNÉES'!H2:H137)*('[1]BASE DONNÉES'!I2:I137))</f>
        <v>0</v>
      </c>
      <c r="F76" s="23">
        <f>IFERROR(SUMPRODUCT(('[1]BASE DONNÉES'!R2:R137="Non renseigné")*('[1]BASE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</row>
    <row r="77" spans="1:13" ht="7.5" customHeight="1" x14ac:dyDescent="0.3"/>
    <row r="78" spans="1:13" ht="21.75" customHeight="1" x14ac:dyDescent="0.3">
      <c r="A78" s="18" t="s">
        <v>129</v>
      </c>
      <c r="B78" s="2"/>
      <c r="C78" s="2"/>
      <c r="D78" s="2"/>
      <c r="E78" s="2"/>
      <c r="F78" s="2"/>
      <c r="G78" s="2"/>
      <c r="H78" s="2"/>
    </row>
    <row r="79" spans="1:13" ht="19.5" customHeight="1" x14ac:dyDescent="0.3">
      <c r="A79" s="93" t="s">
        <v>130</v>
      </c>
      <c r="B79" s="93" t="s">
        <v>131</v>
      </c>
      <c r="C79" s="93" t="s">
        <v>132</v>
      </c>
      <c r="D79" s="93" t="s">
        <v>18</v>
      </c>
    </row>
    <row r="80" spans="1:13" ht="15" customHeight="1" x14ac:dyDescent="0.3">
      <c r="A80" s="59" t="s">
        <v>133</v>
      </c>
      <c r="B80" s="22">
        <f>SUMIF('[1]BASE DONNÉES'!L2:L137,"&lt;&gt;Perdu",'[1]BASE DONNÉES'!H2:H137)</f>
        <v>701269016.08000004</v>
      </c>
      <c r="C80" s="102" t="s">
        <v>134</v>
      </c>
      <c r="D80" s="103" t="s">
        <v>135</v>
      </c>
    </row>
    <row r="81" spans="1:8" ht="15" customHeight="1" x14ac:dyDescent="0.3">
      <c r="A81" s="61" t="s">
        <v>136</v>
      </c>
      <c r="B81" s="32">
        <f>SUMPRODUCT(('[1]BASE DONNÉES'!L2:L137&lt;&gt;"Perdu")*ISNUMBER('[1]BASE DONNÉES'!H2:H137)*ISNUMBER('[1]BASE DONNÉES'!I2:I137)*('[1]BASE DONNÉES'!H2:H137)*('[1]BASE DONNÉES'!I2:I137))</f>
        <v>253710318.44</v>
      </c>
      <c r="C81" s="104" t="s">
        <v>134</v>
      </c>
      <c r="D81" s="105" t="s">
        <v>137</v>
      </c>
    </row>
    <row r="82" spans="1:8" ht="15" customHeight="1" x14ac:dyDescent="0.3">
      <c r="A82" s="59" t="s">
        <v>138</v>
      </c>
      <c r="B82" s="22">
        <f>[1]_CONFIG!$B$2</f>
        <v>20000000</v>
      </c>
      <c r="C82" s="102" t="s">
        <v>139</v>
      </c>
      <c r="D82" s="103" t="s">
        <v>140</v>
      </c>
    </row>
    <row r="83" spans="1:8" ht="15" customHeight="1" x14ac:dyDescent="0.3">
      <c r="A83" s="106" t="s">
        <v>141</v>
      </c>
      <c r="B83" s="107">
        <f>IFERROR(SUMPRODUCT(('[1]BASE DONNÉES'!L2:L137&lt;&gt;"Perdu")*ISNUMBER('[1]BASE DONNÉES'!H2:H137)*ISNUMBER('[1]BASE DONNÉES'!I2:I137)*('[1]BASE DONNÉES'!H2:H137)*('[1]BASE DONNÉES'!I2:I137))/[1]_CONFIG!$B$2,0)</f>
        <v>12.685515922</v>
      </c>
      <c r="C83" s="108" t="s">
        <v>142</v>
      </c>
      <c r="D83" s="109" t="s">
        <v>143</v>
      </c>
    </row>
    <row r="84" spans="1:8" ht="15" customHeight="1" x14ac:dyDescent="0.3">
      <c r="A84" s="106" t="s">
        <v>144</v>
      </c>
      <c r="B84" s="110">
        <f>SUMPRODUCT(('[1]BASE DONNÉES'!R2:R137="0-30 jours")*('[1]BASE DONNÉES'!L2:L137&lt;&gt;"Perdu")*ISNUMBER('[1]BASE DONNÉES'!H2:H137)*ISNUMBER('[1]BASE DONNÉES'!I2:I137)*('[1]BASE DONNÉES'!H2:H137)*('[1]BASE DONNÉES'!I2:I137))</f>
        <v>0</v>
      </c>
      <c r="C84" s="108" t="s">
        <v>134</v>
      </c>
      <c r="D84" s="109" t="s">
        <v>145</v>
      </c>
    </row>
    <row r="85" spans="1:8" ht="15" customHeight="1" x14ac:dyDescent="0.3">
      <c r="A85" s="61" t="s">
        <v>146</v>
      </c>
      <c r="B85" s="32">
        <f>COUNTIF('[1]BASE DONNÉES'!O2:O137,"HIGH")</f>
        <v>38</v>
      </c>
      <c r="C85" s="104" t="s">
        <v>147</v>
      </c>
      <c r="D85" s="105" t="s">
        <v>148</v>
      </c>
    </row>
    <row r="87" spans="1:8" ht="7.5" customHeight="1" x14ac:dyDescent="0.3"/>
    <row r="88" spans="1:8" ht="21.75" customHeight="1" x14ac:dyDescent="0.3">
      <c r="A88" s="111" t="s">
        <v>149</v>
      </c>
      <c r="B88" s="2"/>
      <c r="C88" s="2"/>
      <c r="D88" s="2"/>
      <c r="E88" s="2"/>
      <c r="F88" s="2"/>
      <c r="G88" s="2"/>
      <c r="H88" s="2"/>
    </row>
    <row r="89" spans="1:8" ht="19.5" customHeight="1" x14ac:dyDescent="0.3">
      <c r="A89" s="112" t="s">
        <v>150</v>
      </c>
      <c r="B89" s="112" t="s">
        <v>122</v>
      </c>
      <c r="C89" s="112" t="s">
        <v>11</v>
      </c>
      <c r="D89" s="112" t="s">
        <v>12</v>
      </c>
      <c r="E89" s="112" t="s">
        <v>13</v>
      </c>
      <c r="F89" s="112" t="s">
        <v>123</v>
      </c>
      <c r="G89" s="112" t="s">
        <v>87</v>
      </c>
    </row>
    <row r="90" spans="1:8" ht="15" customHeight="1" x14ac:dyDescent="0.3">
      <c r="A90" s="100" t="s">
        <v>151</v>
      </c>
      <c r="B90" s="50">
        <f>COUNTIFS('[1]BASE DONNÉES'!S2:S137,"High",'[1]BASE DONNÉES'!L2:L137,"&lt;&gt;Perdu")</f>
        <v>0</v>
      </c>
      <c r="C90" s="51">
        <f>SUMIFS('[1]BASE DONNÉES'!H2:H137,'[1]BASE DONNÉES'!S2:S137,"High",'[1]BASE DONNÉES'!L2:L137,"&lt;&gt;Perdu")</f>
        <v>0</v>
      </c>
      <c r="D90" s="52">
        <f>IFERROR(SUMIFS('[1]BASE DONNÉES'!H2:H137,'[1]BASE DONNÉES'!S2:S137,"High",'[1]BASE DONNÉES'!L2:L137,"&lt;&gt;Perdu")/SUMIF('[1]BASE DONNÉES'!L2:L137,"&lt;&gt;Perdu",'[1]BASE DONNÉES'!H2:H137),0)</f>
        <v>0</v>
      </c>
      <c r="E90" s="51">
        <f>SUMPRODUCT(('[1]BASE DONNÉES'!S2:S137="High")*('[1]BASE DONNÉES'!L2:L137&lt;&gt;"Perdu")*ISNUMBER('[1]BASE DONNÉES'!H2:H137)*ISNUMBER('[1]BASE DONNÉES'!I2:I137)*('[1]BASE DONNÉES'!H2:H137)*('[1]BASE DONNÉES'!I2:I137))</f>
        <v>0</v>
      </c>
      <c r="F90" s="52">
        <f>IFERROR(SUMPRODUCT(('[1]BASE DONNÉES'!S2:S137="High")*('[1]BASE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  <c r="G90" s="113" t="s">
        <v>152</v>
      </c>
    </row>
    <row r="91" spans="1:8" ht="15" customHeight="1" x14ac:dyDescent="0.3">
      <c r="A91" s="114" t="s">
        <v>153</v>
      </c>
      <c r="B91" s="115">
        <f>COUNTIFS('[1]BASE DONNÉES'!S2:S137,"Medium",'[1]BASE DONNÉES'!L2:L137,"&lt;&gt;Perdu")</f>
        <v>0</v>
      </c>
      <c r="C91" s="116">
        <f>SUMIFS('[1]BASE DONNÉES'!H2:H137,'[1]BASE DONNÉES'!S2:S137,"Medium",'[1]BASE DONNÉES'!L2:L137,"&lt;&gt;Perdu")</f>
        <v>0</v>
      </c>
      <c r="D91" s="117">
        <f>IFERROR(SUMIFS('[1]BASE DONNÉES'!H2:H137,'[1]BASE DONNÉES'!S2:S137,"Medium",'[1]BASE DONNÉES'!L2:L137,"&lt;&gt;Perdu")/SUMIF('[1]BASE DONNÉES'!L2:L137,"&lt;&gt;Perdu",'[1]BASE DONNÉES'!H2:H137),0)</f>
        <v>0</v>
      </c>
      <c r="E91" s="116">
        <f>SUMPRODUCT(('[1]BASE DONNÉES'!S2:S137="Medium")*('[1]BASE DONNÉES'!L2:L137&lt;&gt;"Perdu")*ISNUMBER('[1]BASE DONNÉES'!H2:H137)*ISNUMBER('[1]BASE DONNÉES'!I2:I137)*('[1]BASE DONNÉES'!H2:H137)*('[1]BASE DONNÉES'!I2:I137))</f>
        <v>0</v>
      </c>
      <c r="F91" s="117">
        <f>IFERROR(SUMPRODUCT(('[1]BASE DONNÉES'!S2:S137="Medium")*('[1]BASE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  <c r="G91" s="118" t="s">
        <v>154</v>
      </c>
    </row>
    <row r="92" spans="1:8" ht="15" customHeight="1" x14ac:dyDescent="0.3">
      <c r="A92" s="119" t="s">
        <v>155</v>
      </c>
      <c r="B92" s="40">
        <f>COUNTIFS('[1]BASE DONNÉES'!S2:S137,"Low",'[1]BASE DONNÉES'!L2:L137,"&lt;&gt;Perdu")</f>
        <v>0</v>
      </c>
      <c r="C92" s="41">
        <f>SUMIFS('[1]BASE DONNÉES'!H2:H137,'[1]BASE DONNÉES'!S2:S137,"Low",'[1]BASE DONNÉES'!L2:L137,"&lt;&gt;Perdu")</f>
        <v>0</v>
      </c>
      <c r="D92" s="42">
        <f>IFERROR(SUMIFS('[1]BASE DONNÉES'!H2:H137,'[1]BASE DONNÉES'!S2:S137,"Low",'[1]BASE DONNÉES'!L2:L137,"&lt;&gt;Perdu")/SUMIF('[1]BASE DONNÉES'!L2:L137,"&lt;&gt;Perdu",'[1]BASE DONNÉES'!H2:H137),0)</f>
        <v>0</v>
      </c>
      <c r="E92" s="41">
        <f>SUMPRODUCT(('[1]BASE DONNÉES'!S2:S137="Low")*('[1]BASE DONNÉES'!L2:L137&lt;&gt;"Perdu")*ISNUMBER('[1]BASE DONNÉES'!H2:H137)*ISNUMBER('[1]BASE DONNÉES'!I2:I137)*('[1]BASE DONNÉES'!H2:H137)*('[1]BASE DONNÉES'!I2:I137))</f>
        <v>0</v>
      </c>
      <c r="F92" s="42">
        <f>IFERROR(SUMPRODUCT(('[1]BASE DONNÉES'!S2:S137="Low")*('[1]BASE DONNÉES'!L2:L137&lt;&gt;"Perdu")*ISNUMBER('[1]BASE DONNÉES'!H2:H137)*ISNUMBER('[1]BASE DONNÉES'!I2:I137)*('[1]BASE DONNÉES'!H2:H137)*('[1]BASE DONNÉES'!I2:I137))/SUMPRODUCT(('[1]BASE DONNÉES'!L2:L137&lt;&gt;"Perdu")*ISNUMBER('[1]BASE DONNÉES'!H2:H137)*ISNUMBER('[1]BASE DONNÉES'!I2:I137)*('[1]BASE DONNÉES'!H2:H137)*('[1]BASE DONNÉES'!I2:I137)),0)</f>
        <v>0</v>
      </c>
      <c r="G92" s="120" t="s">
        <v>156</v>
      </c>
    </row>
    <row r="93" spans="1:8" ht="12.75" customHeight="1" x14ac:dyDescent="0.3">
      <c r="A93" s="121" t="s">
        <v>128</v>
      </c>
      <c r="B93" s="97">
        <f>COUNTIFS('[1]BASE DONNÉES'!S2:S137,"",'[1]BASE DONNÉES'!L2:L137,"&lt;&gt;Perdu",'[1]BASE DONNÉES'!A2:A137,"&lt;&gt;")</f>
        <v>130</v>
      </c>
      <c r="C93" s="122"/>
      <c r="D93" s="122"/>
      <c r="E93" s="122"/>
      <c r="F93" s="122"/>
      <c r="G93" s="122"/>
    </row>
    <row r="95" spans="1:8" ht="7.5" customHeight="1" x14ac:dyDescent="0.3"/>
    <row r="96" spans="1:8" ht="21.75" customHeight="1" x14ac:dyDescent="0.3">
      <c r="A96" s="111" t="s">
        <v>157</v>
      </c>
      <c r="B96" s="2"/>
      <c r="C96" s="2"/>
      <c r="D96" s="2"/>
      <c r="E96" s="2"/>
      <c r="F96" s="2"/>
      <c r="G96" s="2"/>
      <c r="H96" s="2"/>
    </row>
    <row r="97" spans="1:3" ht="19.5" customHeight="1" x14ac:dyDescent="0.3">
      <c r="A97" s="93" t="s">
        <v>89</v>
      </c>
      <c r="B97" s="93" t="s">
        <v>158</v>
      </c>
      <c r="C97" s="93" t="s">
        <v>159</v>
      </c>
    </row>
    <row r="98" spans="1:3" ht="13.5" customHeight="1" x14ac:dyDescent="0.3">
      <c r="A98" s="53" t="s">
        <v>160</v>
      </c>
      <c r="B98" s="50">
        <f ca="1">SUMPRODUCT(('[1]BASE DONNÉES'!A2:A137&lt;&gt;"")*ISNUMBER(SEARCH("PROB MANQUANTE",'[1]BASE DONNÉES'!V2:V137)))</f>
        <v>0</v>
      </c>
      <c r="C98" s="123" t="s">
        <v>161</v>
      </c>
    </row>
    <row r="99" spans="1:3" ht="13.5" customHeight="1" x14ac:dyDescent="0.3">
      <c r="A99" s="53" t="s">
        <v>162</v>
      </c>
      <c r="B99" s="50">
        <f ca="1">SUMPRODUCT(('[1]BASE DONNÉES'!A2:A137&lt;&gt;"")*ISNUMBER(SEARCH("SANS ACTION",'[1]BASE DONNÉES'!V2:V137)))</f>
        <v>115</v>
      </c>
      <c r="C99" s="124" t="s">
        <v>163</v>
      </c>
    </row>
    <row r="100" spans="1:3" ht="13.5" customHeight="1" x14ac:dyDescent="0.3">
      <c r="A100" s="53" t="s">
        <v>164</v>
      </c>
      <c r="B100" s="50">
        <f ca="1">SUMPRODUCT(('[1]BASE DONNÉES'!A2:A137&lt;&gt;"")*ISNUMBER(SEARCH("DATE ACTION MANQUANTE",'[1]BASE DONNÉES'!V2:V137)))</f>
        <v>115</v>
      </c>
      <c r="C100" s="124" t="s">
        <v>163</v>
      </c>
    </row>
    <row r="101" spans="1:3" ht="13.5" customHeight="1" x14ac:dyDescent="0.3">
      <c r="A101" s="53" t="s">
        <v>165</v>
      </c>
      <c r="B101" s="50">
        <f ca="1">SUMPRODUCT(('[1]BASE DONNÉES'!A2:A137&lt;&gt;"")*ISNUMBER(SEARCH("DATE ACTION DÉPASSÉE",'[1]BASE DONNÉES'!V2:V137)))</f>
        <v>0</v>
      </c>
      <c r="C101" s="124" t="s">
        <v>163</v>
      </c>
    </row>
    <row r="102" spans="1:3" ht="13.5" customHeight="1" x14ac:dyDescent="0.3">
      <c r="A102" s="53" t="s">
        <v>166</v>
      </c>
      <c r="B102" s="50">
        <f ca="1">SUMPRODUCT(('[1]BASE DONNÉES'!A2:A137&lt;&gt;"")*ISNUMBER(SEARCH("80%+ SANS ACTION",'[1]BASE DONNÉES'!V2:V137)))</f>
        <v>29</v>
      </c>
      <c r="C102" s="124" t="s">
        <v>163</v>
      </c>
    </row>
    <row r="103" spans="1:3" ht="13.5" customHeight="1" x14ac:dyDescent="0.3">
      <c r="A103" s="53" t="s">
        <v>167</v>
      </c>
      <c r="B103" s="50">
        <f ca="1">SUMPRODUCT(('[1]BASE DONNÉES'!A2:A137&lt;&gt;"")*ISNUMBER(SEARCH("STATUT/PROB",'[1]BASE DONNÉES'!V2:V137)))</f>
        <v>6</v>
      </c>
      <c r="C103" s="123" t="s">
        <v>161</v>
      </c>
    </row>
    <row r="104" spans="1:3" ht="13.5" customHeight="1" x14ac:dyDescent="0.3">
      <c r="A104" s="53" t="s">
        <v>168</v>
      </c>
      <c r="B104" s="50">
        <f ca="1">SUMPRODUCT(('[1]BASE DONNÉES'!A2:A137&lt;&gt;"")*ISNUMBER(SEARCH("MONTANT VIDE",'[1]BASE DONNÉES'!V2:V137)))</f>
        <v>0</v>
      </c>
      <c r="C104" s="124" t="s">
        <v>163</v>
      </c>
    </row>
    <row r="105" spans="1:3" ht="13.5" customHeight="1" x14ac:dyDescent="0.3">
      <c r="A105" s="125" t="s">
        <v>169</v>
      </c>
      <c r="B105" s="126">
        <f ca="1">SUMPRODUCT(('[1]BASE DONNÉES'!A2:A137&lt;&gt;"")*ISNUMBER(SEARCH("⚠",'[1]BASE DONNÉES'!V2:V137)))</f>
        <v>115</v>
      </c>
      <c r="C105" s="127"/>
    </row>
  </sheetData>
  <mergeCells count="28">
    <mergeCell ref="A70:M70"/>
    <mergeCell ref="A78:H78"/>
    <mergeCell ref="A88:H88"/>
    <mergeCell ref="A96:H96"/>
    <mergeCell ref="A10:F10"/>
    <mergeCell ref="H10:N10"/>
    <mergeCell ref="A20:F20"/>
    <mergeCell ref="H20:N20"/>
    <mergeCell ref="A33:N33"/>
    <mergeCell ref="A46:E46"/>
    <mergeCell ref="G46:N46"/>
    <mergeCell ref="A7:C7"/>
    <mergeCell ref="D7:F7"/>
    <mergeCell ref="G7:I7"/>
    <mergeCell ref="J7:L7"/>
    <mergeCell ref="M7:O7"/>
    <mergeCell ref="A8:C8"/>
    <mergeCell ref="D8:F8"/>
    <mergeCell ref="G8:I8"/>
    <mergeCell ref="J8:L8"/>
    <mergeCell ref="M8:O8"/>
    <mergeCell ref="A2:N2"/>
    <mergeCell ref="A3:N3"/>
    <mergeCell ref="A6:C6"/>
    <mergeCell ref="D6:F6"/>
    <mergeCell ref="G6:I6"/>
    <mergeCell ref="J6:L6"/>
    <mergeCell ref="M6:O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📊 SYNTHÈSE COMEX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MELILI</dc:creator>
  <cp:lastModifiedBy>Youssef MELILI</cp:lastModifiedBy>
  <dcterms:created xsi:type="dcterms:W3CDTF">2026-06-15T17:39:04Z</dcterms:created>
  <dcterms:modified xsi:type="dcterms:W3CDTF">2026-06-15T17:39:58Z</dcterms:modified>
</cp:coreProperties>
</file>